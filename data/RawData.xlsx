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THWS\research\"/>
    </mc:Choice>
  </mc:AlternateContent>
  <xr:revisionPtr revIDLastSave="0" documentId="13_ncr:1_{FAA3981D-418A-4804-ADA2-AFB6018BD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8" i="4" l="1"/>
  <c r="AF2" i="4"/>
  <c r="AE2" i="4"/>
  <c r="AD2" i="4"/>
  <c r="AC2" i="4"/>
  <c r="O2" i="4"/>
  <c r="AB2" i="4" s="1"/>
  <c r="G2" i="4"/>
  <c r="D2" i="4"/>
  <c r="E2" i="4" s="1"/>
  <c r="O532" i="4"/>
  <c r="AB532" i="4" s="1"/>
  <c r="D508" i="4"/>
  <c r="E508" i="4" s="1"/>
  <c r="AF598" i="4"/>
  <c r="AE598" i="4"/>
  <c r="AD598" i="4"/>
  <c r="AC598" i="4"/>
  <c r="O598" i="4"/>
  <c r="AB598" i="4" s="1"/>
  <c r="G598" i="4"/>
  <c r="D598" i="4"/>
  <c r="E598" i="4" s="1"/>
  <c r="AF597" i="4"/>
  <c r="AE597" i="4"/>
  <c r="AD597" i="4"/>
  <c r="AC597" i="4"/>
  <c r="O597" i="4"/>
  <c r="AB597" i="4" s="1"/>
  <c r="G597" i="4"/>
  <c r="D597" i="4"/>
  <c r="E597" i="4" s="1"/>
  <c r="AF596" i="4"/>
  <c r="AE596" i="4"/>
  <c r="AD596" i="4"/>
  <c r="AC596" i="4"/>
  <c r="O596" i="4"/>
  <c r="AB596" i="4" s="1"/>
  <c r="G596" i="4"/>
  <c r="D596" i="4"/>
  <c r="E596" i="4" s="1"/>
  <c r="AF595" i="4"/>
  <c r="AE595" i="4"/>
  <c r="AD595" i="4"/>
  <c r="AC595" i="4"/>
  <c r="O595" i="4"/>
  <c r="AB595" i="4" s="1"/>
  <c r="G595" i="4"/>
  <c r="D595" i="4"/>
  <c r="E595" i="4" s="1"/>
  <c r="AF594" i="4"/>
  <c r="AE594" i="4"/>
  <c r="AD594" i="4"/>
  <c r="AC594" i="4"/>
  <c r="O594" i="4"/>
  <c r="AB594" i="4" s="1"/>
  <c r="G594" i="4"/>
  <c r="D594" i="4"/>
  <c r="E594" i="4" s="1"/>
  <c r="AF593" i="4"/>
  <c r="AE593" i="4"/>
  <c r="AD593" i="4"/>
  <c r="AC593" i="4"/>
  <c r="O593" i="4"/>
  <c r="AB593" i="4" s="1"/>
  <c r="G593" i="4"/>
  <c r="D593" i="4"/>
  <c r="E593" i="4" s="1"/>
  <c r="AF592" i="4"/>
  <c r="AE592" i="4"/>
  <c r="AD592" i="4"/>
  <c r="AC592" i="4"/>
  <c r="O592" i="4"/>
  <c r="AB592" i="4" s="1"/>
  <c r="G592" i="4"/>
  <c r="D592" i="4"/>
  <c r="E592" i="4" s="1"/>
  <c r="AF591" i="4"/>
  <c r="AE591" i="4"/>
  <c r="AD591" i="4"/>
  <c r="AC591" i="4"/>
  <c r="O591" i="4"/>
  <c r="AB591" i="4" s="1"/>
  <c r="G591" i="4"/>
  <c r="D591" i="4"/>
  <c r="E591" i="4" s="1"/>
  <c r="AF590" i="4"/>
  <c r="AE590" i="4"/>
  <c r="AD590" i="4"/>
  <c r="AC590" i="4"/>
  <c r="O590" i="4"/>
  <c r="AB590" i="4" s="1"/>
  <c r="G590" i="4"/>
  <c r="D590" i="4"/>
  <c r="E590" i="4" s="1"/>
  <c r="AF589" i="4"/>
  <c r="AE589" i="4"/>
  <c r="AD589" i="4"/>
  <c r="AC589" i="4"/>
  <c r="O589" i="4"/>
  <c r="AB589" i="4" s="1"/>
  <c r="G589" i="4"/>
  <c r="D589" i="4"/>
  <c r="E589" i="4" s="1"/>
  <c r="AF588" i="4"/>
  <c r="AE588" i="4"/>
  <c r="AD588" i="4"/>
  <c r="AC588" i="4"/>
  <c r="O588" i="4"/>
  <c r="AB588" i="4" s="1"/>
  <c r="G588" i="4"/>
  <c r="E588" i="4"/>
  <c r="AF587" i="4"/>
  <c r="AE587" i="4"/>
  <c r="AD587" i="4"/>
  <c r="AC587" i="4"/>
  <c r="O587" i="4"/>
  <c r="AB587" i="4" s="1"/>
  <c r="G587" i="4"/>
  <c r="D587" i="4"/>
  <c r="E587" i="4" s="1"/>
  <c r="AF586" i="4"/>
  <c r="AE586" i="4"/>
  <c r="AD586" i="4"/>
  <c r="AC586" i="4"/>
  <c r="O586" i="4"/>
  <c r="AB586" i="4" s="1"/>
  <c r="G586" i="4"/>
  <c r="D586" i="4"/>
  <c r="E586" i="4" s="1"/>
  <c r="AF585" i="4"/>
  <c r="AE585" i="4"/>
  <c r="AD585" i="4"/>
  <c r="AC585" i="4"/>
  <c r="O585" i="4"/>
  <c r="AB585" i="4" s="1"/>
  <c r="G585" i="4"/>
  <c r="D585" i="4"/>
  <c r="E585" i="4" s="1"/>
  <c r="AF584" i="4"/>
  <c r="AE584" i="4"/>
  <c r="AD584" i="4"/>
  <c r="AC584" i="4"/>
  <c r="O584" i="4"/>
  <c r="AB584" i="4" s="1"/>
  <c r="G584" i="4"/>
  <c r="D584" i="4"/>
  <c r="E584" i="4" s="1"/>
  <c r="AF583" i="4"/>
  <c r="AE583" i="4"/>
  <c r="AD583" i="4"/>
  <c r="AC583" i="4"/>
  <c r="O583" i="4"/>
  <c r="AB583" i="4" s="1"/>
  <c r="G583" i="4"/>
  <c r="D583" i="4"/>
  <c r="E583" i="4" s="1"/>
  <c r="AF582" i="4"/>
  <c r="AE582" i="4"/>
  <c r="AD582" i="4"/>
  <c r="AC582" i="4"/>
  <c r="O582" i="4"/>
  <c r="AB582" i="4" s="1"/>
  <c r="G582" i="4"/>
  <c r="D582" i="4"/>
  <c r="E582" i="4" s="1"/>
  <c r="AF581" i="4"/>
  <c r="AE581" i="4"/>
  <c r="AD581" i="4"/>
  <c r="AC581" i="4"/>
  <c r="O581" i="4"/>
  <c r="AB581" i="4" s="1"/>
  <c r="G581" i="4"/>
  <c r="D581" i="4"/>
  <c r="E581" i="4" s="1"/>
  <c r="AF580" i="4"/>
  <c r="AE580" i="4"/>
  <c r="AD580" i="4"/>
  <c r="AC580" i="4"/>
  <c r="O580" i="4"/>
  <c r="AB580" i="4" s="1"/>
  <c r="G580" i="4"/>
  <c r="D580" i="4"/>
  <c r="E580" i="4" s="1"/>
  <c r="AF579" i="4"/>
  <c r="AE579" i="4"/>
  <c r="AD579" i="4"/>
  <c r="AC579" i="4"/>
  <c r="O579" i="4"/>
  <c r="AB579" i="4" s="1"/>
  <c r="G579" i="4"/>
  <c r="D579" i="4"/>
  <c r="E579" i="4" s="1"/>
  <c r="AF578" i="4"/>
  <c r="AE578" i="4"/>
  <c r="AD578" i="4"/>
  <c r="AC578" i="4"/>
  <c r="O578" i="4"/>
  <c r="AB578" i="4" s="1"/>
  <c r="G578" i="4"/>
  <c r="D578" i="4"/>
  <c r="E578" i="4" s="1"/>
  <c r="AF577" i="4"/>
  <c r="AE577" i="4"/>
  <c r="AD577" i="4"/>
  <c r="AC577" i="4"/>
  <c r="O577" i="4"/>
  <c r="AB577" i="4" s="1"/>
  <c r="G577" i="4"/>
  <c r="D577" i="4"/>
  <c r="E577" i="4" s="1"/>
  <c r="AF576" i="4"/>
  <c r="AE576" i="4"/>
  <c r="AD576" i="4"/>
  <c r="AC576" i="4"/>
  <c r="O576" i="4"/>
  <c r="AB576" i="4" s="1"/>
  <c r="G576" i="4"/>
  <c r="D576" i="4"/>
  <c r="E576" i="4" s="1"/>
  <c r="AF575" i="4"/>
  <c r="AE575" i="4"/>
  <c r="AD575" i="4"/>
  <c r="AC575" i="4"/>
  <c r="O575" i="4"/>
  <c r="AB575" i="4" s="1"/>
  <c r="G575" i="4"/>
  <c r="D575" i="4"/>
  <c r="E575" i="4" s="1"/>
  <c r="AF574" i="4"/>
  <c r="AE574" i="4"/>
  <c r="AD574" i="4"/>
  <c r="AC574" i="4"/>
  <c r="O574" i="4"/>
  <c r="AB574" i="4" s="1"/>
  <c r="G574" i="4"/>
  <c r="D574" i="4"/>
  <c r="E574" i="4" s="1"/>
  <c r="AF573" i="4"/>
  <c r="AE573" i="4"/>
  <c r="AD573" i="4"/>
  <c r="AC573" i="4"/>
  <c r="O573" i="4"/>
  <c r="AB573" i="4" s="1"/>
  <c r="G573" i="4"/>
  <c r="D573" i="4"/>
  <c r="E573" i="4" s="1"/>
  <c r="AF572" i="4"/>
  <c r="AE572" i="4"/>
  <c r="AD572" i="4"/>
  <c r="AC572" i="4"/>
  <c r="O572" i="4"/>
  <c r="AB572" i="4" s="1"/>
  <c r="G572" i="4"/>
  <c r="D572" i="4"/>
  <c r="E572" i="4" s="1"/>
  <c r="AF571" i="4"/>
  <c r="AE571" i="4"/>
  <c r="AD571" i="4"/>
  <c r="AC571" i="4"/>
  <c r="O571" i="4"/>
  <c r="AB571" i="4" s="1"/>
  <c r="G571" i="4"/>
  <c r="D571" i="4"/>
  <c r="E571" i="4" s="1"/>
  <c r="AF570" i="4"/>
  <c r="AE570" i="4"/>
  <c r="AD570" i="4"/>
  <c r="AC570" i="4"/>
  <c r="O570" i="4"/>
  <c r="AB570" i="4" s="1"/>
  <c r="G570" i="4"/>
  <c r="D570" i="4"/>
  <c r="E570" i="4" s="1"/>
  <c r="AF569" i="4"/>
  <c r="AE569" i="4"/>
  <c r="AD569" i="4"/>
  <c r="AC569" i="4"/>
  <c r="O569" i="4"/>
  <c r="AB569" i="4" s="1"/>
  <c r="G569" i="4"/>
  <c r="D569" i="4"/>
  <c r="E569" i="4" s="1"/>
  <c r="AF568" i="4"/>
  <c r="AE568" i="4"/>
  <c r="AD568" i="4"/>
  <c r="AC568" i="4"/>
  <c r="O568" i="4"/>
  <c r="AB568" i="4" s="1"/>
  <c r="G568" i="4"/>
  <c r="D568" i="4"/>
  <c r="E568" i="4" s="1"/>
  <c r="AF567" i="4"/>
  <c r="AE567" i="4"/>
  <c r="AD567" i="4"/>
  <c r="AC567" i="4"/>
  <c r="O567" i="4"/>
  <c r="AB567" i="4" s="1"/>
  <c r="G567" i="4"/>
  <c r="D567" i="4"/>
  <c r="E567" i="4" s="1"/>
  <c r="AF566" i="4"/>
  <c r="AE566" i="4"/>
  <c r="AD566" i="4"/>
  <c r="AC566" i="4"/>
  <c r="O566" i="4"/>
  <c r="AB566" i="4" s="1"/>
  <c r="G566" i="4"/>
  <c r="D566" i="4"/>
  <c r="E566" i="4" s="1"/>
  <c r="AF565" i="4"/>
  <c r="AE565" i="4"/>
  <c r="AD565" i="4"/>
  <c r="AC565" i="4"/>
  <c r="O565" i="4"/>
  <c r="AB565" i="4" s="1"/>
  <c r="G565" i="4"/>
  <c r="D565" i="4"/>
  <c r="E565" i="4" s="1"/>
  <c r="AF564" i="4"/>
  <c r="AE564" i="4"/>
  <c r="AD564" i="4"/>
  <c r="AC564" i="4"/>
  <c r="O564" i="4"/>
  <c r="AB564" i="4" s="1"/>
  <c r="G564" i="4"/>
  <c r="D564" i="4"/>
  <c r="E564" i="4" s="1"/>
  <c r="AF563" i="4"/>
  <c r="AE563" i="4"/>
  <c r="AD563" i="4"/>
  <c r="AC563" i="4"/>
  <c r="O563" i="4"/>
  <c r="AB563" i="4" s="1"/>
  <c r="G563" i="4"/>
  <c r="D563" i="4"/>
  <c r="E563" i="4" s="1"/>
  <c r="AF562" i="4"/>
  <c r="AE562" i="4"/>
  <c r="AD562" i="4"/>
  <c r="AC562" i="4"/>
  <c r="O562" i="4"/>
  <c r="AB562" i="4" s="1"/>
  <c r="G562" i="4"/>
  <c r="D562" i="4"/>
  <c r="E562" i="4" s="1"/>
  <c r="AF561" i="4"/>
  <c r="AE561" i="4"/>
  <c r="AD561" i="4"/>
  <c r="AC561" i="4"/>
  <c r="O561" i="4"/>
  <c r="AB561" i="4" s="1"/>
  <c r="G561" i="4"/>
  <c r="D561" i="4"/>
  <c r="E561" i="4" s="1"/>
  <c r="AF560" i="4"/>
  <c r="AE560" i="4"/>
  <c r="AD560" i="4"/>
  <c r="AC560" i="4"/>
  <c r="O560" i="4"/>
  <c r="AB560" i="4" s="1"/>
  <c r="G560" i="4"/>
  <c r="D560" i="4"/>
  <c r="E560" i="4" s="1"/>
  <c r="AF559" i="4"/>
  <c r="AE559" i="4"/>
  <c r="AD559" i="4"/>
  <c r="AC559" i="4"/>
  <c r="O559" i="4"/>
  <c r="AB559" i="4" s="1"/>
  <c r="G559" i="4"/>
  <c r="D559" i="4"/>
  <c r="AF558" i="4"/>
  <c r="AE558" i="4"/>
  <c r="AD558" i="4"/>
  <c r="AC558" i="4"/>
  <c r="O558" i="4"/>
  <c r="AB558" i="4" s="1"/>
  <c r="G558" i="4"/>
  <c r="D558" i="4"/>
  <c r="E558" i="4" s="1"/>
  <c r="AF557" i="4"/>
  <c r="AE557" i="4"/>
  <c r="AD557" i="4"/>
  <c r="AC557" i="4"/>
  <c r="O557" i="4"/>
  <c r="AB557" i="4" s="1"/>
  <c r="G557" i="4"/>
  <c r="D557" i="4"/>
  <c r="E557" i="4" s="1"/>
  <c r="AF556" i="4"/>
  <c r="AE556" i="4"/>
  <c r="AD556" i="4"/>
  <c r="AC556" i="4"/>
  <c r="O556" i="4"/>
  <c r="AB556" i="4" s="1"/>
  <c r="G556" i="4"/>
  <c r="D556" i="4"/>
  <c r="E556" i="4" s="1"/>
  <c r="AF555" i="4"/>
  <c r="AE555" i="4"/>
  <c r="AD555" i="4"/>
  <c r="AC555" i="4"/>
  <c r="O555" i="4"/>
  <c r="AB555" i="4" s="1"/>
  <c r="G555" i="4"/>
  <c r="D555" i="4"/>
  <c r="E555" i="4" s="1"/>
  <c r="AF554" i="4"/>
  <c r="AE554" i="4"/>
  <c r="AD554" i="4"/>
  <c r="AC554" i="4"/>
  <c r="O554" i="4"/>
  <c r="AB554" i="4" s="1"/>
  <c r="G554" i="4"/>
  <c r="D554" i="4"/>
  <c r="E554" i="4" s="1"/>
  <c r="AF553" i="4"/>
  <c r="AE553" i="4"/>
  <c r="AD553" i="4"/>
  <c r="AC553" i="4"/>
  <c r="O553" i="4"/>
  <c r="AB553" i="4" s="1"/>
  <c r="G553" i="4"/>
  <c r="D553" i="4"/>
  <c r="E553" i="4" s="1"/>
  <c r="AF552" i="4"/>
  <c r="AE552" i="4"/>
  <c r="AD552" i="4"/>
  <c r="AC552" i="4"/>
  <c r="O552" i="4"/>
  <c r="AB552" i="4" s="1"/>
  <c r="G552" i="4"/>
  <c r="D552" i="4"/>
  <c r="E552" i="4" s="1"/>
  <c r="AF551" i="4"/>
  <c r="AE551" i="4"/>
  <c r="AD551" i="4"/>
  <c r="AC551" i="4"/>
  <c r="O551" i="4"/>
  <c r="AB551" i="4" s="1"/>
  <c r="G551" i="4"/>
  <c r="D551" i="4"/>
  <c r="E551" i="4" s="1"/>
  <c r="AF550" i="4"/>
  <c r="AE550" i="4"/>
  <c r="AD550" i="4"/>
  <c r="AC550" i="4"/>
  <c r="O550" i="4"/>
  <c r="AB550" i="4" s="1"/>
  <c r="G550" i="4"/>
  <c r="D550" i="4"/>
  <c r="E550" i="4" s="1"/>
  <c r="AF549" i="4"/>
  <c r="AE549" i="4"/>
  <c r="AD549" i="4"/>
  <c r="AC549" i="4"/>
  <c r="O549" i="4"/>
  <c r="AB549" i="4" s="1"/>
  <c r="G549" i="4"/>
  <c r="D549" i="4"/>
  <c r="E549" i="4" s="1"/>
  <c r="AF548" i="4"/>
  <c r="AE548" i="4"/>
  <c r="AD548" i="4"/>
  <c r="AC548" i="4"/>
  <c r="O548" i="4"/>
  <c r="AB548" i="4" s="1"/>
  <c r="G548" i="4"/>
  <c r="D548" i="4"/>
  <c r="E548" i="4" s="1"/>
  <c r="AF547" i="4"/>
  <c r="AE547" i="4"/>
  <c r="AD547" i="4"/>
  <c r="AC547" i="4"/>
  <c r="O547" i="4"/>
  <c r="AB547" i="4" s="1"/>
  <c r="G547" i="4"/>
  <c r="D547" i="4"/>
  <c r="E547" i="4" s="1"/>
  <c r="AF546" i="4"/>
  <c r="AE546" i="4"/>
  <c r="AD546" i="4"/>
  <c r="AC546" i="4"/>
  <c r="O546" i="4"/>
  <c r="AB546" i="4" s="1"/>
  <c r="G546" i="4"/>
  <c r="D546" i="4"/>
  <c r="E546" i="4" s="1"/>
  <c r="AF545" i="4"/>
  <c r="AE545" i="4"/>
  <c r="AD545" i="4"/>
  <c r="AC545" i="4"/>
  <c r="O545" i="4"/>
  <c r="AB545" i="4" s="1"/>
  <c r="G545" i="4"/>
  <c r="D545" i="4"/>
  <c r="E545" i="4" s="1"/>
  <c r="AF544" i="4"/>
  <c r="AE544" i="4"/>
  <c r="AD544" i="4"/>
  <c r="AC544" i="4"/>
  <c r="O544" i="4"/>
  <c r="AB544" i="4" s="1"/>
  <c r="G544" i="4"/>
  <c r="D544" i="4"/>
  <c r="E544" i="4" s="1"/>
  <c r="AF543" i="4"/>
  <c r="AE543" i="4"/>
  <c r="AD543" i="4"/>
  <c r="AC543" i="4"/>
  <c r="O543" i="4"/>
  <c r="AB543" i="4" s="1"/>
  <c r="G543" i="4"/>
  <c r="D543" i="4"/>
  <c r="E543" i="4" s="1"/>
  <c r="AF542" i="4"/>
  <c r="AE542" i="4"/>
  <c r="AD542" i="4"/>
  <c r="AC542" i="4"/>
  <c r="O542" i="4"/>
  <c r="AB542" i="4" s="1"/>
  <c r="G542" i="4"/>
  <c r="D542" i="4"/>
  <c r="E542" i="4" s="1"/>
  <c r="AF541" i="4"/>
  <c r="AE541" i="4"/>
  <c r="AD541" i="4"/>
  <c r="AC541" i="4"/>
  <c r="O541" i="4"/>
  <c r="AB541" i="4" s="1"/>
  <c r="G541" i="4"/>
  <c r="D541" i="4"/>
  <c r="E541" i="4" s="1"/>
  <c r="AF540" i="4"/>
  <c r="AE540" i="4"/>
  <c r="AD540" i="4"/>
  <c r="AC540" i="4"/>
  <c r="O540" i="4"/>
  <c r="AB540" i="4" s="1"/>
  <c r="G540" i="4"/>
  <c r="D540" i="4"/>
  <c r="E540" i="4" s="1"/>
  <c r="AF539" i="4"/>
  <c r="AE539" i="4"/>
  <c r="AD539" i="4"/>
  <c r="AC539" i="4"/>
  <c r="O539" i="4"/>
  <c r="AB539" i="4" s="1"/>
  <c r="G539" i="4"/>
  <c r="D539" i="4"/>
  <c r="E539" i="4" s="1"/>
  <c r="AF538" i="4"/>
  <c r="AE538" i="4"/>
  <c r="AD538" i="4"/>
  <c r="AC538" i="4"/>
  <c r="O538" i="4"/>
  <c r="AB538" i="4" s="1"/>
  <c r="G538" i="4"/>
  <c r="D538" i="4"/>
  <c r="E538" i="4" s="1"/>
  <c r="AF537" i="4"/>
  <c r="AE537" i="4"/>
  <c r="AD537" i="4"/>
  <c r="AC537" i="4"/>
  <c r="O537" i="4"/>
  <c r="AB537" i="4" s="1"/>
  <c r="G537" i="4"/>
  <c r="D537" i="4"/>
  <c r="E537" i="4" s="1"/>
  <c r="AF536" i="4"/>
  <c r="AE536" i="4"/>
  <c r="AD536" i="4"/>
  <c r="AC536" i="4"/>
  <c r="O536" i="4"/>
  <c r="AB536" i="4" s="1"/>
  <c r="G536" i="4"/>
  <c r="D536" i="4"/>
  <c r="E536" i="4" s="1"/>
  <c r="AA536" i="4" s="1"/>
  <c r="AF535" i="4"/>
  <c r="AE535" i="4"/>
  <c r="AD535" i="4"/>
  <c r="AC535" i="4"/>
  <c r="O535" i="4"/>
  <c r="AB535" i="4" s="1"/>
  <c r="G535" i="4"/>
  <c r="D535" i="4"/>
  <c r="E535" i="4" s="1"/>
  <c r="AF534" i="4"/>
  <c r="AE534" i="4"/>
  <c r="AD534" i="4"/>
  <c r="AC534" i="4"/>
  <c r="O534" i="4"/>
  <c r="AB534" i="4" s="1"/>
  <c r="G534" i="4"/>
  <c r="D534" i="4"/>
  <c r="E534" i="4" s="1"/>
  <c r="AF533" i="4"/>
  <c r="AE533" i="4"/>
  <c r="AD533" i="4"/>
  <c r="AC533" i="4"/>
  <c r="O533" i="4"/>
  <c r="AB533" i="4" s="1"/>
  <c r="G533" i="4"/>
  <c r="D533" i="4"/>
  <c r="E533" i="4" s="1"/>
  <c r="AF532" i="4"/>
  <c r="AE532" i="4"/>
  <c r="AD532" i="4"/>
  <c r="AC532" i="4"/>
  <c r="G532" i="4"/>
  <c r="D532" i="4"/>
  <c r="E532" i="4" s="1"/>
  <c r="AF531" i="4"/>
  <c r="AE531" i="4"/>
  <c r="AD531" i="4"/>
  <c r="AC531" i="4"/>
  <c r="O531" i="4"/>
  <c r="AB531" i="4" s="1"/>
  <c r="G531" i="4"/>
  <c r="D531" i="4"/>
  <c r="E531" i="4" s="1"/>
  <c r="AF530" i="4"/>
  <c r="AE530" i="4"/>
  <c r="AD530" i="4"/>
  <c r="AC530" i="4"/>
  <c r="O530" i="4"/>
  <c r="AB530" i="4" s="1"/>
  <c r="G530" i="4"/>
  <c r="D530" i="4"/>
  <c r="E530" i="4" s="1"/>
  <c r="AF529" i="4"/>
  <c r="AE529" i="4"/>
  <c r="AD529" i="4"/>
  <c r="AC529" i="4"/>
  <c r="O529" i="4"/>
  <c r="AB529" i="4" s="1"/>
  <c r="G529" i="4"/>
  <c r="D529" i="4"/>
  <c r="E529" i="4" s="1"/>
  <c r="AF528" i="4"/>
  <c r="AE528" i="4"/>
  <c r="AD528" i="4"/>
  <c r="AC528" i="4"/>
  <c r="O528" i="4"/>
  <c r="AB528" i="4" s="1"/>
  <c r="G528" i="4"/>
  <c r="D528" i="4"/>
  <c r="E528" i="4" s="1"/>
  <c r="AF527" i="4"/>
  <c r="AE527" i="4"/>
  <c r="AD527" i="4"/>
  <c r="AC527" i="4"/>
  <c r="O527" i="4"/>
  <c r="AB527" i="4" s="1"/>
  <c r="G527" i="4"/>
  <c r="D527" i="4"/>
  <c r="E527" i="4" s="1"/>
  <c r="AF526" i="4"/>
  <c r="AE526" i="4"/>
  <c r="AD526" i="4"/>
  <c r="AC526" i="4"/>
  <c r="O526" i="4"/>
  <c r="AB526" i="4" s="1"/>
  <c r="G526" i="4"/>
  <c r="D526" i="4"/>
  <c r="E526" i="4" s="1"/>
  <c r="AF525" i="4"/>
  <c r="AE525" i="4"/>
  <c r="AD525" i="4"/>
  <c r="AC525" i="4"/>
  <c r="O525" i="4"/>
  <c r="AB525" i="4" s="1"/>
  <c r="G525" i="4"/>
  <c r="D525" i="4"/>
  <c r="E525" i="4" s="1"/>
  <c r="AF524" i="4"/>
  <c r="AE524" i="4"/>
  <c r="AD524" i="4"/>
  <c r="AC524" i="4"/>
  <c r="O524" i="4"/>
  <c r="AB524" i="4" s="1"/>
  <c r="G524" i="4"/>
  <c r="D524" i="4"/>
  <c r="E524" i="4" s="1"/>
  <c r="AF523" i="4"/>
  <c r="AE523" i="4"/>
  <c r="AD523" i="4"/>
  <c r="AC523" i="4"/>
  <c r="O523" i="4"/>
  <c r="AB523" i="4" s="1"/>
  <c r="G523" i="4"/>
  <c r="D523" i="4"/>
  <c r="E523" i="4" s="1"/>
  <c r="AF522" i="4"/>
  <c r="AE522" i="4"/>
  <c r="AD522" i="4"/>
  <c r="AC522" i="4"/>
  <c r="O522" i="4"/>
  <c r="AB522" i="4" s="1"/>
  <c r="G522" i="4"/>
  <c r="D522" i="4"/>
  <c r="E522" i="4" s="1"/>
  <c r="AF521" i="4"/>
  <c r="AE521" i="4"/>
  <c r="AD521" i="4"/>
  <c r="AC521" i="4"/>
  <c r="O521" i="4"/>
  <c r="AB521" i="4" s="1"/>
  <c r="G521" i="4"/>
  <c r="D521" i="4"/>
  <c r="E521" i="4" s="1"/>
  <c r="AF520" i="4"/>
  <c r="AE520" i="4"/>
  <c r="AD520" i="4"/>
  <c r="AC520" i="4"/>
  <c r="O520" i="4"/>
  <c r="AB520" i="4" s="1"/>
  <c r="G520" i="4"/>
  <c r="D520" i="4"/>
  <c r="E520" i="4" s="1"/>
  <c r="AF519" i="4"/>
  <c r="AE519" i="4"/>
  <c r="AD519" i="4"/>
  <c r="AC519" i="4"/>
  <c r="O519" i="4"/>
  <c r="AB519" i="4" s="1"/>
  <c r="G519" i="4"/>
  <c r="D519" i="4"/>
  <c r="E519" i="4" s="1"/>
  <c r="AF518" i="4"/>
  <c r="AE518" i="4"/>
  <c r="AD518" i="4"/>
  <c r="AC518" i="4"/>
  <c r="O518" i="4"/>
  <c r="AB518" i="4" s="1"/>
  <c r="G518" i="4"/>
  <c r="D518" i="4"/>
  <c r="E518" i="4" s="1"/>
  <c r="AF517" i="4"/>
  <c r="AE517" i="4"/>
  <c r="AD517" i="4"/>
  <c r="AC517" i="4"/>
  <c r="O517" i="4"/>
  <c r="AB517" i="4" s="1"/>
  <c r="G517" i="4"/>
  <c r="D517" i="4"/>
  <c r="E517" i="4" s="1"/>
  <c r="AF516" i="4"/>
  <c r="AE516" i="4"/>
  <c r="AD516" i="4"/>
  <c r="AC516" i="4"/>
  <c r="O516" i="4"/>
  <c r="AB516" i="4" s="1"/>
  <c r="G516" i="4"/>
  <c r="D516" i="4"/>
  <c r="E516" i="4" s="1"/>
  <c r="AF515" i="4"/>
  <c r="AE515" i="4"/>
  <c r="AD515" i="4"/>
  <c r="AC515" i="4"/>
  <c r="O515" i="4"/>
  <c r="AB515" i="4" s="1"/>
  <c r="G515" i="4"/>
  <c r="D515" i="4"/>
  <c r="E515" i="4" s="1"/>
  <c r="AF514" i="4"/>
  <c r="AE514" i="4"/>
  <c r="AD514" i="4"/>
  <c r="AC514" i="4"/>
  <c r="O514" i="4"/>
  <c r="AB514" i="4" s="1"/>
  <c r="G514" i="4"/>
  <c r="D514" i="4"/>
  <c r="E514" i="4" s="1"/>
  <c r="AF513" i="4"/>
  <c r="AE513" i="4"/>
  <c r="AD513" i="4"/>
  <c r="AC513" i="4"/>
  <c r="O513" i="4"/>
  <c r="AB513" i="4" s="1"/>
  <c r="G513" i="4"/>
  <c r="D513" i="4"/>
  <c r="E513" i="4" s="1"/>
  <c r="AF512" i="4"/>
  <c r="AE512" i="4"/>
  <c r="AD512" i="4"/>
  <c r="AC512" i="4"/>
  <c r="O512" i="4"/>
  <c r="AB512" i="4" s="1"/>
  <c r="G512" i="4"/>
  <c r="D512" i="4"/>
  <c r="E512" i="4" s="1"/>
  <c r="AF511" i="4"/>
  <c r="AE511" i="4"/>
  <c r="AD511" i="4"/>
  <c r="AC511" i="4"/>
  <c r="O511" i="4"/>
  <c r="AB511" i="4" s="1"/>
  <c r="G511" i="4"/>
  <c r="D511" i="4"/>
  <c r="E511" i="4" s="1"/>
  <c r="AF510" i="4"/>
  <c r="AE510" i="4"/>
  <c r="AD510" i="4"/>
  <c r="AC510" i="4"/>
  <c r="O510" i="4"/>
  <c r="AB510" i="4" s="1"/>
  <c r="G510" i="4"/>
  <c r="D510" i="4"/>
  <c r="E510" i="4" s="1"/>
  <c r="AF509" i="4"/>
  <c r="AE509" i="4"/>
  <c r="AD509" i="4"/>
  <c r="AC509" i="4"/>
  <c r="O509" i="4"/>
  <c r="AB509" i="4" s="1"/>
  <c r="G509" i="4"/>
  <c r="D509" i="4"/>
  <c r="E509" i="4" s="1"/>
  <c r="AF508" i="4"/>
  <c r="AE508" i="4"/>
  <c r="AD508" i="4"/>
  <c r="AC508" i="4"/>
  <c r="O508" i="4"/>
  <c r="AB508" i="4" s="1"/>
  <c r="G508" i="4"/>
  <c r="AF507" i="4"/>
  <c r="AE507" i="4"/>
  <c r="AD507" i="4"/>
  <c r="AC507" i="4"/>
  <c r="O507" i="4"/>
  <c r="AB507" i="4" s="1"/>
  <c r="G507" i="4"/>
  <c r="D507" i="4"/>
  <c r="E507" i="4" s="1"/>
  <c r="AA507" i="4" s="1"/>
  <c r="AF506" i="4"/>
  <c r="AE506" i="4"/>
  <c r="AD506" i="4"/>
  <c r="AC506" i="4"/>
  <c r="O506" i="4"/>
  <c r="AB506" i="4" s="1"/>
  <c r="G506" i="4"/>
  <c r="D506" i="4"/>
  <c r="E506" i="4" s="1"/>
  <c r="AF505" i="4"/>
  <c r="AE505" i="4"/>
  <c r="AD505" i="4"/>
  <c r="AC505" i="4"/>
  <c r="O505" i="4"/>
  <c r="AB505" i="4" s="1"/>
  <c r="G505" i="4"/>
  <c r="D505" i="4"/>
  <c r="E505" i="4" s="1"/>
  <c r="AF504" i="4"/>
  <c r="AE504" i="4"/>
  <c r="AD504" i="4"/>
  <c r="AC504" i="4"/>
  <c r="O504" i="4"/>
  <c r="AB504" i="4" s="1"/>
  <c r="G504" i="4"/>
  <c r="D504" i="4"/>
  <c r="E504" i="4" s="1"/>
  <c r="AF503" i="4"/>
  <c r="AE503" i="4"/>
  <c r="AD503" i="4"/>
  <c r="AC503" i="4"/>
  <c r="O503" i="4"/>
  <c r="AB503" i="4" s="1"/>
  <c r="G503" i="4"/>
  <c r="D503" i="4"/>
  <c r="E503" i="4" s="1"/>
  <c r="AF502" i="4"/>
  <c r="AE502" i="4"/>
  <c r="AD502" i="4"/>
  <c r="AC502" i="4"/>
  <c r="O502" i="4"/>
  <c r="AB502" i="4" s="1"/>
  <c r="G502" i="4"/>
  <c r="D502" i="4"/>
  <c r="E502" i="4" s="1"/>
  <c r="AF501" i="4"/>
  <c r="AE501" i="4"/>
  <c r="AD501" i="4"/>
  <c r="AC501" i="4"/>
  <c r="O501" i="4"/>
  <c r="AB501" i="4" s="1"/>
  <c r="G501" i="4"/>
  <c r="D501" i="4"/>
  <c r="E501" i="4" s="1"/>
  <c r="AF500" i="4"/>
  <c r="AE500" i="4"/>
  <c r="AD500" i="4"/>
  <c r="AC500" i="4"/>
  <c r="O500" i="4"/>
  <c r="AB500" i="4" s="1"/>
  <c r="G500" i="4"/>
  <c r="D500" i="4"/>
  <c r="E500" i="4" s="1"/>
  <c r="AF499" i="4"/>
  <c r="AE499" i="4"/>
  <c r="AD499" i="4"/>
  <c r="AC499" i="4"/>
  <c r="O499" i="4"/>
  <c r="AB499" i="4" s="1"/>
  <c r="G499" i="4"/>
  <c r="D499" i="4"/>
  <c r="E499" i="4" s="1"/>
  <c r="AF498" i="4"/>
  <c r="AE498" i="4"/>
  <c r="AD498" i="4"/>
  <c r="AC498" i="4"/>
  <c r="O498" i="4"/>
  <c r="AB498" i="4" s="1"/>
  <c r="G498" i="4"/>
  <c r="D498" i="4"/>
  <c r="E498" i="4" s="1"/>
  <c r="AF497" i="4"/>
  <c r="AE497" i="4"/>
  <c r="AD497" i="4"/>
  <c r="AC497" i="4"/>
  <c r="O497" i="4"/>
  <c r="AB497" i="4" s="1"/>
  <c r="G497" i="4"/>
  <c r="D497" i="4"/>
  <c r="E497" i="4" s="1"/>
  <c r="AF496" i="4"/>
  <c r="AE496" i="4"/>
  <c r="AD496" i="4"/>
  <c r="AC496" i="4"/>
  <c r="O496" i="4"/>
  <c r="AB496" i="4" s="1"/>
  <c r="G496" i="4"/>
  <c r="D496" i="4"/>
  <c r="E496" i="4" s="1"/>
  <c r="AF495" i="4"/>
  <c r="AE495" i="4"/>
  <c r="AD495" i="4"/>
  <c r="AC495" i="4"/>
  <c r="O495" i="4"/>
  <c r="AB495" i="4" s="1"/>
  <c r="G495" i="4"/>
  <c r="D495" i="4"/>
  <c r="E495" i="4" s="1"/>
  <c r="AA495" i="4" s="1"/>
  <c r="AF494" i="4"/>
  <c r="AE494" i="4"/>
  <c r="AD494" i="4"/>
  <c r="AC494" i="4"/>
  <c r="O494" i="4"/>
  <c r="AB494" i="4" s="1"/>
  <c r="G494" i="4"/>
  <c r="D494" i="4"/>
  <c r="E494" i="4" s="1"/>
  <c r="AF493" i="4"/>
  <c r="AE493" i="4"/>
  <c r="AD493" i="4"/>
  <c r="AC493" i="4"/>
  <c r="O493" i="4"/>
  <c r="AB493" i="4" s="1"/>
  <c r="G493" i="4"/>
  <c r="D493" i="4"/>
  <c r="E493" i="4" s="1"/>
  <c r="AF492" i="4"/>
  <c r="AE492" i="4"/>
  <c r="AD492" i="4"/>
  <c r="AC492" i="4"/>
  <c r="O492" i="4"/>
  <c r="AB492" i="4" s="1"/>
  <c r="G492" i="4"/>
  <c r="D492" i="4"/>
  <c r="E492" i="4" s="1"/>
  <c r="AF491" i="4"/>
  <c r="AE491" i="4"/>
  <c r="AD491" i="4"/>
  <c r="AC491" i="4"/>
  <c r="O491" i="4"/>
  <c r="AB491" i="4" s="1"/>
  <c r="G491" i="4"/>
  <c r="D491" i="4"/>
  <c r="E491" i="4" s="1"/>
  <c r="AF490" i="4"/>
  <c r="AE490" i="4"/>
  <c r="AD490" i="4"/>
  <c r="AC490" i="4"/>
  <c r="O490" i="4"/>
  <c r="AB490" i="4" s="1"/>
  <c r="G490" i="4"/>
  <c r="D490" i="4"/>
  <c r="E490" i="4" s="1"/>
  <c r="AF489" i="4"/>
  <c r="AE489" i="4"/>
  <c r="AD489" i="4"/>
  <c r="AC489" i="4"/>
  <c r="O489" i="4"/>
  <c r="AB489" i="4" s="1"/>
  <c r="G489" i="4"/>
  <c r="D489" i="4"/>
  <c r="E489" i="4" s="1"/>
  <c r="AF488" i="4"/>
  <c r="AE488" i="4"/>
  <c r="AD488" i="4"/>
  <c r="AC488" i="4"/>
  <c r="O488" i="4"/>
  <c r="AB488" i="4" s="1"/>
  <c r="G488" i="4"/>
  <c r="D488" i="4"/>
  <c r="E488" i="4" s="1"/>
  <c r="AF487" i="4"/>
  <c r="AE487" i="4"/>
  <c r="AD487" i="4"/>
  <c r="AC487" i="4"/>
  <c r="O487" i="4"/>
  <c r="AB487" i="4" s="1"/>
  <c r="G487" i="4"/>
  <c r="D487" i="4"/>
  <c r="E487" i="4" s="1"/>
  <c r="AF486" i="4"/>
  <c r="AE486" i="4"/>
  <c r="AD486" i="4"/>
  <c r="AC486" i="4"/>
  <c r="O486" i="4"/>
  <c r="AB486" i="4" s="1"/>
  <c r="G486" i="4"/>
  <c r="D486" i="4"/>
  <c r="E486" i="4" s="1"/>
  <c r="AF485" i="4"/>
  <c r="AE485" i="4"/>
  <c r="AD485" i="4"/>
  <c r="AC485" i="4"/>
  <c r="O485" i="4"/>
  <c r="AB485" i="4" s="1"/>
  <c r="G485" i="4"/>
  <c r="D485" i="4"/>
  <c r="E485" i="4" s="1"/>
  <c r="AF484" i="4"/>
  <c r="AE484" i="4"/>
  <c r="AD484" i="4"/>
  <c r="AC484" i="4"/>
  <c r="O484" i="4"/>
  <c r="AB484" i="4" s="1"/>
  <c r="G484" i="4"/>
  <c r="D484" i="4"/>
  <c r="E484" i="4" s="1"/>
  <c r="AF483" i="4"/>
  <c r="AE483" i="4"/>
  <c r="AD483" i="4"/>
  <c r="AC483" i="4"/>
  <c r="O483" i="4"/>
  <c r="AB483" i="4" s="1"/>
  <c r="G483" i="4"/>
  <c r="D483" i="4"/>
  <c r="E483" i="4" s="1"/>
  <c r="AF482" i="4"/>
  <c r="AE482" i="4"/>
  <c r="AD482" i="4"/>
  <c r="AC482" i="4"/>
  <c r="O482" i="4"/>
  <c r="AB482" i="4" s="1"/>
  <c r="G482" i="4"/>
  <c r="D482" i="4"/>
  <c r="E482" i="4" s="1"/>
  <c r="AF481" i="4"/>
  <c r="AE481" i="4"/>
  <c r="AD481" i="4"/>
  <c r="AC481" i="4"/>
  <c r="O481" i="4"/>
  <c r="AB481" i="4" s="1"/>
  <c r="G481" i="4"/>
  <c r="D481" i="4"/>
  <c r="E481" i="4" s="1"/>
  <c r="AF480" i="4"/>
  <c r="AE480" i="4"/>
  <c r="AD480" i="4"/>
  <c r="AC480" i="4"/>
  <c r="O480" i="4"/>
  <c r="AB480" i="4" s="1"/>
  <c r="G480" i="4"/>
  <c r="D480" i="4"/>
  <c r="E480" i="4" s="1"/>
  <c r="AF479" i="4"/>
  <c r="AE479" i="4"/>
  <c r="AD479" i="4"/>
  <c r="AC479" i="4"/>
  <c r="O479" i="4"/>
  <c r="AB479" i="4" s="1"/>
  <c r="G479" i="4"/>
  <c r="D479" i="4"/>
  <c r="E479" i="4" s="1"/>
  <c r="AF478" i="4"/>
  <c r="AE478" i="4"/>
  <c r="AD478" i="4"/>
  <c r="AC478" i="4"/>
  <c r="O478" i="4"/>
  <c r="AB478" i="4" s="1"/>
  <c r="G478" i="4"/>
  <c r="D478" i="4"/>
  <c r="E478" i="4" s="1"/>
  <c r="AF477" i="4"/>
  <c r="AE477" i="4"/>
  <c r="AD477" i="4"/>
  <c r="AC477" i="4"/>
  <c r="O477" i="4"/>
  <c r="AB477" i="4" s="1"/>
  <c r="G477" i="4"/>
  <c r="D477" i="4"/>
  <c r="E477" i="4" s="1"/>
  <c r="AF476" i="4"/>
  <c r="AE476" i="4"/>
  <c r="AD476" i="4"/>
  <c r="AC476" i="4"/>
  <c r="O476" i="4"/>
  <c r="AB476" i="4" s="1"/>
  <c r="G476" i="4"/>
  <c r="D476" i="4"/>
  <c r="E476" i="4" s="1"/>
  <c r="AF475" i="4"/>
  <c r="AE475" i="4"/>
  <c r="AD475" i="4"/>
  <c r="AC475" i="4"/>
  <c r="O475" i="4"/>
  <c r="AB475" i="4" s="1"/>
  <c r="G475" i="4"/>
  <c r="D475" i="4"/>
  <c r="E475" i="4" s="1"/>
  <c r="AF474" i="4"/>
  <c r="AE474" i="4"/>
  <c r="AD474" i="4"/>
  <c r="AC474" i="4"/>
  <c r="O474" i="4"/>
  <c r="AB474" i="4" s="1"/>
  <c r="G474" i="4"/>
  <c r="D474" i="4"/>
  <c r="E474" i="4" s="1"/>
  <c r="AF473" i="4"/>
  <c r="AE473" i="4"/>
  <c r="AD473" i="4"/>
  <c r="AC473" i="4"/>
  <c r="O473" i="4"/>
  <c r="AB473" i="4" s="1"/>
  <c r="G473" i="4"/>
  <c r="D473" i="4"/>
  <c r="E473" i="4" s="1"/>
  <c r="AF472" i="4"/>
  <c r="AE472" i="4"/>
  <c r="AD472" i="4"/>
  <c r="AC472" i="4"/>
  <c r="O472" i="4"/>
  <c r="AB472" i="4" s="1"/>
  <c r="G472" i="4"/>
  <c r="D472" i="4"/>
  <c r="E472" i="4" s="1"/>
  <c r="AF471" i="4"/>
  <c r="AE471" i="4"/>
  <c r="AD471" i="4"/>
  <c r="AC471" i="4"/>
  <c r="O471" i="4"/>
  <c r="AB471" i="4" s="1"/>
  <c r="G471" i="4"/>
  <c r="D471" i="4"/>
  <c r="E471" i="4" s="1"/>
  <c r="AF470" i="4"/>
  <c r="AE470" i="4"/>
  <c r="AD470" i="4"/>
  <c r="AC470" i="4"/>
  <c r="O470" i="4"/>
  <c r="AB470" i="4" s="1"/>
  <c r="G470" i="4"/>
  <c r="D470" i="4"/>
  <c r="E470" i="4" s="1"/>
  <c r="AF469" i="4"/>
  <c r="AE469" i="4"/>
  <c r="AD469" i="4"/>
  <c r="AC469" i="4"/>
  <c r="O469" i="4"/>
  <c r="AB469" i="4" s="1"/>
  <c r="G469" i="4"/>
  <c r="D469" i="4"/>
  <c r="E469" i="4" s="1"/>
  <c r="AF468" i="4"/>
  <c r="AE468" i="4"/>
  <c r="AD468" i="4"/>
  <c r="AC468" i="4"/>
  <c r="O468" i="4"/>
  <c r="AB468" i="4" s="1"/>
  <c r="G468" i="4"/>
  <c r="D468" i="4"/>
  <c r="E468" i="4" s="1"/>
  <c r="AF467" i="4"/>
  <c r="AE467" i="4"/>
  <c r="AD467" i="4"/>
  <c r="AC467" i="4"/>
  <c r="O467" i="4"/>
  <c r="AB467" i="4" s="1"/>
  <c r="G467" i="4"/>
  <c r="D467" i="4"/>
  <c r="E467" i="4" s="1"/>
  <c r="AF466" i="4"/>
  <c r="AE466" i="4"/>
  <c r="AD466" i="4"/>
  <c r="AC466" i="4"/>
  <c r="O466" i="4"/>
  <c r="AB466" i="4" s="1"/>
  <c r="G466" i="4"/>
  <c r="D466" i="4"/>
  <c r="E466" i="4" s="1"/>
  <c r="AF465" i="4"/>
  <c r="AE465" i="4"/>
  <c r="AD465" i="4"/>
  <c r="AC465" i="4"/>
  <c r="O465" i="4"/>
  <c r="AB465" i="4" s="1"/>
  <c r="G465" i="4"/>
  <c r="D465" i="4"/>
  <c r="E465" i="4" s="1"/>
  <c r="AF464" i="4"/>
  <c r="AE464" i="4"/>
  <c r="AD464" i="4"/>
  <c r="AC464" i="4"/>
  <c r="O464" i="4"/>
  <c r="AB464" i="4" s="1"/>
  <c r="G464" i="4"/>
  <c r="D464" i="4"/>
  <c r="E464" i="4" s="1"/>
  <c r="AF463" i="4"/>
  <c r="AE463" i="4"/>
  <c r="AD463" i="4"/>
  <c r="AC463" i="4"/>
  <c r="O463" i="4"/>
  <c r="AB463" i="4" s="1"/>
  <c r="G463" i="4"/>
  <c r="D463" i="4"/>
  <c r="E463" i="4" s="1"/>
  <c r="AF462" i="4"/>
  <c r="AE462" i="4"/>
  <c r="AD462" i="4"/>
  <c r="AC462" i="4"/>
  <c r="O462" i="4"/>
  <c r="AB462" i="4" s="1"/>
  <c r="G462" i="4"/>
  <c r="D462" i="4"/>
  <c r="E462" i="4" s="1"/>
  <c r="AF461" i="4"/>
  <c r="AE461" i="4"/>
  <c r="AD461" i="4"/>
  <c r="AC461" i="4"/>
  <c r="O461" i="4"/>
  <c r="AB461" i="4" s="1"/>
  <c r="G461" i="4"/>
  <c r="D461" i="4"/>
  <c r="E461" i="4" s="1"/>
  <c r="AF460" i="4"/>
  <c r="AE460" i="4"/>
  <c r="AD460" i="4"/>
  <c r="AC460" i="4"/>
  <c r="O460" i="4"/>
  <c r="AB460" i="4" s="1"/>
  <c r="G460" i="4"/>
  <c r="D460" i="4"/>
  <c r="E460" i="4" s="1"/>
  <c r="AF459" i="4"/>
  <c r="AE459" i="4"/>
  <c r="AD459" i="4"/>
  <c r="AC459" i="4"/>
  <c r="O459" i="4"/>
  <c r="AB459" i="4" s="1"/>
  <c r="G459" i="4"/>
  <c r="D459" i="4"/>
  <c r="E459" i="4" s="1"/>
  <c r="AF458" i="4"/>
  <c r="AE458" i="4"/>
  <c r="AD458" i="4"/>
  <c r="AC458" i="4"/>
  <c r="O458" i="4"/>
  <c r="AB458" i="4" s="1"/>
  <c r="G458" i="4"/>
  <c r="D458" i="4"/>
  <c r="E458" i="4" s="1"/>
  <c r="AF457" i="4"/>
  <c r="AE457" i="4"/>
  <c r="AD457" i="4"/>
  <c r="AC457" i="4"/>
  <c r="O457" i="4"/>
  <c r="AB457" i="4" s="1"/>
  <c r="G457" i="4"/>
  <c r="D457" i="4"/>
  <c r="E457" i="4" s="1"/>
  <c r="AF456" i="4"/>
  <c r="AE456" i="4"/>
  <c r="AD456" i="4"/>
  <c r="AC456" i="4"/>
  <c r="O456" i="4"/>
  <c r="AB456" i="4" s="1"/>
  <c r="G456" i="4"/>
  <c r="D456" i="4"/>
  <c r="E456" i="4" s="1"/>
  <c r="AF455" i="4"/>
  <c r="AE455" i="4"/>
  <c r="AD455" i="4"/>
  <c r="AC455" i="4"/>
  <c r="O455" i="4"/>
  <c r="AB455" i="4" s="1"/>
  <c r="G455" i="4"/>
  <c r="D455" i="4"/>
  <c r="E455" i="4" s="1"/>
  <c r="AF454" i="4"/>
  <c r="AE454" i="4"/>
  <c r="AD454" i="4"/>
  <c r="AC454" i="4"/>
  <c r="AB454" i="4"/>
  <c r="O454" i="4"/>
  <c r="G454" i="4"/>
  <c r="D454" i="4"/>
  <c r="E454" i="4" s="1"/>
  <c r="AF453" i="4"/>
  <c r="AE453" i="4"/>
  <c r="AD453" i="4"/>
  <c r="AC453" i="4"/>
  <c r="O453" i="4"/>
  <c r="AB453" i="4" s="1"/>
  <c r="G453" i="4"/>
  <c r="D453" i="4"/>
  <c r="E453" i="4" s="1"/>
  <c r="AF452" i="4"/>
  <c r="AE452" i="4"/>
  <c r="AD452" i="4"/>
  <c r="AC452" i="4"/>
  <c r="O452" i="4"/>
  <c r="AB452" i="4" s="1"/>
  <c r="G452" i="4"/>
  <c r="D452" i="4"/>
  <c r="E452" i="4" s="1"/>
  <c r="AF451" i="4"/>
  <c r="AE451" i="4"/>
  <c r="AD451" i="4"/>
  <c r="AC451" i="4"/>
  <c r="O451" i="4"/>
  <c r="AB451" i="4" s="1"/>
  <c r="G451" i="4"/>
  <c r="D451" i="4"/>
  <c r="E451" i="4" s="1"/>
  <c r="AF450" i="4"/>
  <c r="AE450" i="4"/>
  <c r="AD450" i="4"/>
  <c r="AC450" i="4"/>
  <c r="O450" i="4"/>
  <c r="AB450" i="4" s="1"/>
  <c r="G450" i="4"/>
  <c r="D450" i="4"/>
  <c r="E450" i="4" s="1"/>
  <c r="AF449" i="4"/>
  <c r="AE449" i="4"/>
  <c r="AD449" i="4"/>
  <c r="AC449" i="4"/>
  <c r="O449" i="4"/>
  <c r="AB449" i="4" s="1"/>
  <c r="G449" i="4"/>
  <c r="D449" i="4"/>
  <c r="E449" i="4" s="1"/>
  <c r="AF448" i="4"/>
  <c r="AE448" i="4"/>
  <c r="AD448" i="4"/>
  <c r="AC448" i="4"/>
  <c r="O448" i="4"/>
  <c r="AB448" i="4" s="1"/>
  <c r="G448" i="4"/>
  <c r="D448" i="4"/>
  <c r="E448" i="4" s="1"/>
  <c r="AF447" i="4"/>
  <c r="AE447" i="4"/>
  <c r="AD447" i="4"/>
  <c r="AC447" i="4"/>
  <c r="O447" i="4"/>
  <c r="AB447" i="4" s="1"/>
  <c r="G447" i="4"/>
  <c r="D447" i="4"/>
  <c r="E447" i="4" s="1"/>
  <c r="AF446" i="4"/>
  <c r="AE446" i="4"/>
  <c r="AD446" i="4"/>
  <c r="AC446" i="4"/>
  <c r="O446" i="4"/>
  <c r="AB446" i="4" s="1"/>
  <c r="G446" i="4"/>
  <c r="D446" i="4"/>
  <c r="E446" i="4" s="1"/>
  <c r="AF445" i="4"/>
  <c r="AE445" i="4"/>
  <c r="AD445" i="4"/>
  <c r="AC445" i="4"/>
  <c r="O445" i="4"/>
  <c r="AB445" i="4" s="1"/>
  <c r="G445" i="4"/>
  <c r="D445" i="4"/>
  <c r="E445" i="4" s="1"/>
  <c r="AF444" i="4"/>
  <c r="AE444" i="4"/>
  <c r="AD444" i="4"/>
  <c r="AC444" i="4"/>
  <c r="O444" i="4"/>
  <c r="AB444" i="4" s="1"/>
  <c r="G444" i="4"/>
  <c r="D444" i="4"/>
  <c r="E444" i="4" s="1"/>
  <c r="AF443" i="4"/>
  <c r="AE443" i="4"/>
  <c r="AD443" i="4"/>
  <c r="AC443" i="4"/>
  <c r="O443" i="4"/>
  <c r="AB443" i="4" s="1"/>
  <c r="G443" i="4"/>
  <c r="D443" i="4"/>
  <c r="E443" i="4" s="1"/>
  <c r="AF442" i="4"/>
  <c r="AE442" i="4"/>
  <c r="AD442" i="4"/>
  <c r="AC442" i="4"/>
  <c r="O442" i="4"/>
  <c r="AB442" i="4" s="1"/>
  <c r="G442" i="4"/>
  <c r="D442" i="4"/>
  <c r="E442" i="4" s="1"/>
  <c r="AF441" i="4"/>
  <c r="AE441" i="4"/>
  <c r="AD441" i="4"/>
  <c r="AC441" i="4"/>
  <c r="O441" i="4"/>
  <c r="AB441" i="4" s="1"/>
  <c r="G441" i="4"/>
  <c r="D441" i="4"/>
  <c r="E441" i="4" s="1"/>
  <c r="AF440" i="4"/>
  <c r="AE440" i="4"/>
  <c r="AD440" i="4"/>
  <c r="AC440" i="4"/>
  <c r="O440" i="4"/>
  <c r="AB440" i="4" s="1"/>
  <c r="G440" i="4"/>
  <c r="D440" i="4"/>
  <c r="E440" i="4" s="1"/>
  <c r="AF439" i="4"/>
  <c r="AE439" i="4"/>
  <c r="AD439" i="4"/>
  <c r="AC439" i="4"/>
  <c r="O439" i="4"/>
  <c r="AB439" i="4" s="1"/>
  <c r="G439" i="4"/>
  <c r="D439" i="4"/>
  <c r="E439" i="4" s="1"/>
  <c r="AF438" i="4"/>
  <c r="AE438" i="4"/>
  <c r="AD438" i="4"/>
  <c r="AC438" i="4"/>
  <c r="O438" i="4"/>
  <c r="AB438" i="4" s="1"/>
  <c r="G438" i="4"/>
  <c r="D438" i="4"/>
  <c r="E438" i="4" s="1"/>
  <c r="AA438" i="4" s="1"/>
  <c r="AF437" i="4"/>
  <c r="AE437" i="4"/>
  <c r="AD437" i="4"/>
  <c r="AC437" i="4"/>
  <c r="O437" i="4"/>
  <c r="AB437" i="4" s="1"/>
  <c r="G437" i="4"/>
  <c r="D437" i="4"/>
  <c r="E437" i="4" s="1"/>
  <c r="AF436" i="4"/>
  <c r="AE436" i="4"/>
  <c r="AD436" i="4"/>
  <c r="AC436" i="4"/>
  <c r="O436" i="4"/>
  <c r="AB436" i="4" s="1"/>
  <c r="G436" i="4"/>
  <c r="D436" i="4"/>
  <c r="E436" i="4" s="1"/>
  <c r="AF435" i="4"/>
  <c r="AE435" i="4"/>
  <c r="AD435" i="4"/>
  <c r="AC435" i="4"/>
  <c r="O435" i="4"/>
  <c r="AB435" i="4" s="1"/>
  <c r="G435" i="4"/>
  <c r="D435" i="4"/>
  <c r="E435" i="4" s="1"/>
  <c r="AF434" i="4"/>
  <c r="AE434" i="4"/>
  <c r="AD434" i="4"/>
  <c r="AC434" i="4"/>
  <c r="O434" i="4"/>
  <c r="AB434" i="4" s="1"/>
  <c r="G434" i="4"/>
  <c r="D434" i="4"/>
  <c r="E434" i="4" s="1"/>
  <c r="AF433" i="4"/>
  <c r="AE433" i="4"/>
  <c r="AD433" i="4"/>
  <c r="AC433" i="4"/>
  <c r="O433" i="4"/>
  <c r="AB433" i="4" s="1"/>
  <c r="G433" i="4"/>
  <c r="D433" i="4"/>
  <c r="E433" i="4" s="1"/>
  <c r="AF432" i="4"/>
  <c r="AE432" i="4"/>
  <c r="AD432" i="4"/>
  <c r="AC432" i="4"/>
  <c r="O432" i="4"/>
  <c r="AB432" i="4" s="1"/>
  <c r="G432" i="4"/>
  <c r="D432" i="4"/>
  <c r="E432" i="4" s="1"/>
  <c r="AF431" i="4"/>
  <c r="AE431" i="4"/>
  <c r="AD431" i="4"/>
  <c r="AC431" i="4"/>
  <c r="O431" i="4"/>
  <c r="AB431" i="4" s="1"/>
  <c r="G431" i="4"/>
  <c r="D431" i="4"/>
  <c r="E431" i="4" s="1"/>
  <c r="AF430" i="4"/>
  <c r="AE430" i="4"/>
  <c r="AD430" i="4"/>
  <c r="AC430" i="4"/>
  <c r="O430" i="4"/>
  <c r="AB430" i="4" s="1"/>
  <c r="G430" i="4"/>
  <c r="D430" i="4"/>
  <c r="E430" i="4" s="1"/>
  <c r="AF429" i="4"/>
  <c r="AE429" i="4"/>
  <c r="AD429" i="4"/>
  <c r="AC429" i="4"/>
  <c r="O429" i="4"/>
  <c r="AB429" i="4" s="1"/>
  <c r="G429" i="4"/>
  <c r="D429" i="4"/>
  <c r="E429" i="4" s="1"/>
  <c r="AF428" i="4"/>
  <c r="AE428" i="4"/>
  <c r="AD428" i="4"/>
  <c r="AC428" i="4"/>
  <c r="O428" i="4"/>
  <c r="AB428" i="4" s="1"/>
  <c r="G428" i="4"/>
  <c r="D428" i="4"/>
  <c r="E428" i="4" s="1"/>
  <c r="AF427" i="4"/>
  <c r="AE427" i="4"/>
  <c r="AD427" i="4"/>
  <c r="AC427" i="4"/>
  <c r="O427" i="4"/>
  <c r="AB427" i="4" s="1"/>
  <c r="G427" i="4"/>
  <c r="D427" i="4"/>
  <c r="E427" i="4" s="1"/>
  <c r="AF426" i="4"/>
  <c r="AE426" i="4"/>
  <c r="AD426" i="4"/>
  <c r="AC426" i="4"/>
  <c r="O426" i="4"/>
  <c r="AB426" i="4" s="1"/>
  <c r="G426" i="4"/>
  <c r="D426" i="4"/>
  <c r="E426" i="4" s="1"/>
  <c r="AF425" i="4"/>
  <c r="AE425" i="4"/>
  <c r="AD425" i="4"/>
  <c r="AC425" i="4"/>
  <c r="O425" i="4"/>
  <c r="AB425" i="4" s="1"/>
  <c r="G425" i="4"/>
  <c r="D425" i="4"/>
  <c r="E425" i="4" s="1"/>
  <c r="AF424" i="4"/>
  <c r="AE424" i="4"/>
  <c r="AD424" i="4"/>
  <c r="AC424" i="4"/>
  <c r="O424" i="4"/>
  <c r="AB424" i="4" s="1"/>
  <c r="G424" i="4"/>
  <c r="D424" i="4"/>
  <c r="E424" i="4" s="1"/>
  <c r="AF423" i="4"/>
  <c r="AE423" i="4"/>
  <c r="AD423" i="4"/>
  <c r="AC423" i="4"/>
  <c r="O423" i="4"/>
  <c r="AB423" i="4" s="1"/>
  <c r="G423" i="4"/>
  <c r="D423" i="4"/>
  <c r="E423" i="4" s="1"/>
  <c r="AF422" i="4"/>
  <c r="AE422" i="4"/>
  <c r="AD422" i="4"/>
  <c r="AC422" i="4"/>
  <c r="O422" i="4"/>
  <c r="AB422" i="4" s="1"/>
  <c r="G422" i="4"/>
  <c r="D422" i="4"/>
  <c r="E422" i="4" s="1"/>
  <c r="AF421" i="4"/>
  <c r="AE421" i="4"/>
  <c r="AD421" i="4"/>
  <c r="AC421" i="4"/>
  <c r="O421" i="4"/>
  <c r="AB421" i="4" s="1"/>
  <c r="G421" i="4"/>
  <c r="D421" i="4"/>
  <c r="E421" i="4" s="1"/>
  <c r="AF420" i="4"/>
  <c r="AE420" i="4"/>
  <c r="AD420" i="4"/>
  <c r="AC420" i="4"/>
  <c r="O420" i="4"/>
  <c r="AB420" i="4" s="1"/>
  <c r="G420" i="4"/>
  <c r="D420" i="4"/>
  <c r="E420" i="4" s="1"/>
  <c r="AF419" i="4"/>
  <c r="AE419" i="4"/>
  <c r="AD419" i="4"/>
  <c r="AC419" i="4"/>
  <c r="O419" i="4"/>
  <c r="AB419" i="4" s="1"/>
  <c r="G419" i="4"/>
  <c r="D419" i="4"/>
  <c r="E419" i="4" s="1"/>
  <c r="AF418" i="4"/>
  <c r="AE418" i="4"/>
  <c r="AD418" i="4"/>
  <c r="AC418" i="4"/>
  <c r="O418" i="4"/>
  <c r="AB418" i="4" s="1"/>
  <c r="G418" i="4"/>
  <c r="D418" i="4"/>
  <c r="E418" i="4" s="1"/>
  <c r="AF417" i="4"/>
  <c r="AE417" i="4"/>
  <c r="AD417" i="4"/>
  <c r="AC417" i="4"/>
  <c r="O417" i="4"/>
  <c r="AB417" i="4" s="1"/>
  <c r="G417" i="4"/>
  <c r="D417" i="4"/>
  <c r="E417" i="4" s="1"/>
  <c r="AF416" i="4"/>
  <c r="AE416" i="4"/>
  <c r="AD416" i="4"/>
  <c r="AC416" i="4"/>
  <c r="O416" i="4"/>
  <c r="AB416" i="4" s="1"/>
  <c r="G416" i="4"/>
  <c r="D416" i="4"/>
  <c r="E416" i="4" s="1"/>
  <c r="AF415" i="4"/>
  <c r="AE415" i="4"/>
  <c r="AD415" i="4"/>
  <c r="AC415" i="4"/>
  <c r="O415" i="4"/>
  <c r="AB415" i="4" s="1"/>
  <c r="G415" i="4"/>
  <c r="D415" i="4"/>
  <c r="E415" i="4" s="1"/>
  <c r="AF414" i="4"/>
  <c r="AE414" i="4"/>
  <c r="AD414" i="4"/>
  <c r="AC414" i="4"/>
  <c r="O414" i="4"/>
  <c r="AB414" i="4" s="1"/>
  <c r="G414" i="4"/>
  <c r="D414" i="4"/>
  <c r="E414" i="4" s="1"/>
  <c r="AA414" i="4" s="1"/>
  <c r="AF413" i="4"/>
  <c r="AE413" i="4"/>
  <c r="AD413" i="4"/>
  <c r="AC413" i="4"/>
  <c r="O413" i="4"/>
  <c r="AB413" i="4" s="1"/>
  <c r="G413" i="4"/>
  <c r="D413" i="4"/>
  <c r="E413" i="4" s="1"/>
  <c r="AF412" i="4"/>
  <c r="AE412" i="4"/>
  <c r="AD412" i="4"/>
  <c r="AC412" i="4"/>
  <c r="O412" i="4"/>
  <c r="AB412" i="4" s="1"/>
  <c r="G412" i="4"/>
  <c r="D412" i="4"/>
  <c r="E412" i="4" s="1"/>
  <c r="AF411" i="4"/>
  <c r="AE411" i="4"/>
  <c r="AD411" i="4"/>
  <c r="AC411" i="4"/>
  <c r="O411" i="4"/>
  <c r="AB411" i="4" s="1"/>
  <c r="G411" i="4"/>
  <c r="D411" i="4"/>
  <c r="E411" i="4" s="1"/>
  <c r="AF410" i="4"/>
  <c r="AE410" i="4"/>
  <c r="AD410" i="4"/>
  <c r="AC410" i="4"/>
  <c r="O410" i="4"/>
  <c r="AB410" i="4" s="1"/>
  <c r="G410" i="4"/>
  <c r="D410" i="4"/>
  <c r="E410" i="4" s="1"/>
  <c r="AF409" i="4"/>
  <c r="AE409" i="4"/>
  <c r="AD409" i="4"/>
  <c r="AC409" i="4"/>
  <c r="O409" i="4"/>
  <c r="AB409" i="4" s="1"/>
  <c r="G409" i="4"/>
  <c r="D409" i="4"/>
  <c r="E409" i="4" s="1"/>
  <c r="AF408" i="4"/>
  <c r="AE408" i="4"/>
  <c r="AD408" i="4"/>
  <c r="AC408" i="4"/>
  <c r="O408" i="4"/>
  <c r="AB408" i="4" s="1"/>
  <c r="G408" i="4"/>
  <c r="D408" i="4"/>
  <c r="E408" i="4" s="1"/>
  <c r="AF407" i="4"/>
  <c r="AE407" i="4"/>
  <c r="AD407" i="4"/>
  <c r="AC407" i="4"/>
  <c r="O407" i="4"/>
  <c r="AB407" i="4" s="1"/>
  <c r="G407" i="4"/>
  <c r="D407" i="4"/>
  <c r="E407" i="4" s="1"/>
  <c r="AF406" i="4"/>
  <c r="AE406" i="4"/>
  <c r="AD406" i="4"/>
  <c r="AC406" i="4"/>
  <c r="O406" i="4"/>
  <c r="AB406" i="4" s="1"/>
  <c r="G406" i="4"/>
  <c r="D406" i="4"/>
  <c r="E406" i="4" s="1"/>
  <c r="AF405" i="4"/>
  <c r="AE405" i="4"/>
  <c r="AD405" i="4"/>
  <c r="AC405" i="4"/>
  <c r="O405" i="4"/>
  <c r="AB405" i="4" s="1"/>
  <c r="G405" i="4"/>
  <c r="D405" i="4"/>
  <c r="E405" i="4" s="1"/>
  <c r="AF404" i="4"/>
  <c r="AE404" i="4"/>
  <c r="AD404" i="4"/>
  <c r="AC404" i="4"/>
  <c r="O404" i="4"/>
  <c r="AB404" i="4" s="1"/>
  <c r="G404" i="4"/>
  <c r="D404" i="4"/>
  <c r="E404" i="4" s="1"/>
  <c r="AF403" i="4"/>
  <c r="AE403" i="4"/>
  <c r="AD403" i="4"/>
  <c r="AC403" i="4"/>
  <c r="O403" i="4"/>
  <c r="AB403" i="4" s="1"/>
  <c r="G403" i="4"/>
  <c r="D403" i="4"/>
  <c r="E403" i="4" s="1"/>
  <c r="AF402" i="4"/>
  <c r="AE402" i="4"/>
  <c r="AD402" i="4"/>
  <c r="AC402" i="4"/>
  <c r="O402" i="4"/>
  <c r="AB402" i="4" s="1"/>
  <c r="G402" i="4"/>
  <c r="D402" i="4"/>
  <c r="E402" i="4" s="1"/>
  <c r="AF401" i="4"/>
  <c r="AE401" i="4"/>
  <c r="AD401" i="4"/>
  <c r="AC401" i="4"/>
  <c r="O401" i="4"/>
  <c r="AB401" i="4" s="1"/>
  <c r="G401" i="4"/>
  <c r="D401" i="4"/>
  <c r="E401" i="4" s="1"/>
  <c r="AF400" i="4"/>
  <c r="AE400" i="4"/>
  <c r="AD400" i="4"/>
  <c r="AC400" i="4"/>
  <c r="O400" i="4"/>
  <c r="AB400" i="4" s="1"/>
  <c r="G400" i="4"/>
  <c r="D400" i="4"/>
  <c r="E400" i="4" s="1"/>
  <c r="AF399" i="4"/>
  <c r="AE399" i="4"/>
  <c r="AD399" i="4"/>
  <c r="AC399" i="4"/>
  <c r="O399" i="4"/>
  <c r="AB399" i="4" s="1"/>
  <c r="G399" i="4"/>
  <c r="D399" i="4"/>
  <c r="E399" i="4" s="1"/>
  <c r="AF398" i="4"/>
  <c r="AE398" i="4"/>
  <c r="AD398" i="4"/>
  <c r="AC398" i="4"/>
  <c r="O398" i="4"/>
  <c r="AB398" i="4" s="1"/>
  <c r="G398" i="4"/>
  <c r="D398" i="4"/>
  <c r="E398" i="4" s="1"/>
  <c r="AF397" i="4"/>
  <c r="AE397" i="4"/>
  <c r="AD397" i="4"/>
  <c r="AC397" i="4"/>
  <c r="O397" i="4"/>
  <c r="AB397" i="4" s="1"/>
  <c r="G397" i="4"/>
  <c r="D397" i="4"/>
  <c r="E397" i="4" s="1"/>
  <c r="AF396" i="4"/>
  <c r="AE396" i="4"/>
  <c r="AD396" i="4"/>
  <c r="AC396" i="4"/>
  <c r="O396" i="4"/>
  <c r="AB396" i="4" s="1"/>
  <c r="G396" i="4"/>
  <c r="D396" i="4"/>
  <c r="E396" i="4" s="1"/>
  <c r="AF395" i="4"/>
  <c r="AE395" i="4"/>
  <c r="AD395" i="4"/>
  <c r="AC395" i="4"/>
  <c r="O395" i="4"/>
  <c r="AB395" i="4" s="1"/>
  <c r="G395" i="4"/>
  <c r="D395" i="4"/>
  <c r="E395" i="4" s="1"/>
  <c r="AF394" i="4"/>
  <c r="AE394" i="4"/>
  <c r="AD394" i="4"/>
  <c r="AC394" i="4"/>
  <c r="O394" i="4"/>
  <c r="AB394" i="4" s="1"/>
  <c r="G394" i="4"/>
  <c r="D394" i="4"/>
  <c r="E394" i="4" s="1"/>
  <c r="AF393" i="4"/>
  <c r="AE393" i="4"/>
  <c r="AD393" i="4"/>
  <c r="AC393" i="4"/>
  <c r="O393" i="4"/>
  <c r="AB393" i="4" s="1"/>
  <c r="G393" i="4"/>
  <c r="D393" i="4"/>
  <c r="E393" i="4" s="1"/>
  <c r="AA393" i="4" s="1"/>
  <c r="AF392" i="4"/>
  <c r="AE392" i="4"/>
  <c r="AD392" i="4"/>
  <c r="AC392" i="4"/>
  <c r="O392" i="4"/>
  <c r="AB392" i="4" s="1"/>
  <c r="G392" i="4"/>
  <c r="D392" i="4"/>
  <c r="E392" i="4" s="1"/>
  <c r="AF391" i="4"/>
  <c r="AE391" i="4"/>
  <c r="AD391" i="4"/>
  <c r="AC391" i="4"/>
  <c r="O391" i="4"/>
  <c r="AB391" i="4" s="1"/>
  <c r="G391" i="4"/>
  <c r="D391" i="4"/>
  <c r="E391" i="4" s="1"/>
  <c r="AF390" i="4"/>
  <c r="AE390" i="4"/>
  <c r="AD390" i="4"/>
  <c r="AC390" i="4"/>
  <c r="O390" i="4"/>
  <c r="AB390" i="4" s="1"/>
  <c r="G390" i="4"/>
  <c r="D390" i="4"/>
  <c r="E390" i="4" s="1"/>
  <c r="AF389" i="4"/>
  <c r="AE389" i="4"/>
  <c r="AD389" i="4"/>
  <c r="AC389" i="4"/>
  <c r="O389" i="4"/>
  <c r="AB389" i="4" s="1"/>
  <c r="G389" i="4"/>
  <c r="D389" i="4"/>
  <c r="E389" i="4" s="1"/>
  <c r="AF388" i="4"/>
  <c r="AE388" i="4"/>
  <c r="AD388" i="4"/>
  <c r="AC388" i="4"/>
  <c r="O388" i="4"/>
  <c r="AB388" i="4" s="1"/>
  <c r="G388" i="4"/>
  <c r="D388" i="4"/>
  <c r="E388" i="4" s="1"/>
  <c r="AF387" i="4"/>
  <c r="AE387" i="4"/>
  <c r="AD387" i="4"/>
  <c r="AC387" i="4"/>
  <c r="O387" i="4"/>
  <c r="AB387" i="4" s="1"/>
  <c r="G387" i="4"/>
  <c r="D387" i="4"/>
  <c r="E387" i="4" s="1"/>
  <c r="AF386" i="4"/>
  <c r="AE386" i="4"/>
  <c r="AD386" i="4"/>
  <c r="AC386" i="4"/>
  <c r="O386" i="4"/>
  <c r="AB386" i="4" s="1"/>
  <c r="G386" i="4"/>
  <c r="D386" i="4"/>
  <c r="E386" i="4" s="1"/>
  <c r="AF385" i="4"/>
  <c r="AE385" i="4"/>
  <c r="AD385" i="4"/>
  <c r="AC385" i="4"/>
  <c r="O385" i="4"/>
  <c r="AB385" i="4" s="1"/>
  <c r="G385" i="4"/>
  <c r="E385" i="4"/>
  <c r="D385" i="4"/>
  <c r="AF384" i="4"/>
  <c r="AE384" i="4"/>
  <c r="AD384" i="4"/>
  <c r="AC384" i="4"/>
  <c r="O384" i="4"/>
  <c r="AB384" i="4" s="1"/>
  <c r="G384" i="4"/>
  <c r="D384" i="4"/>
  <c r="E384" i="4" s="1"/>
  <c r="AF383" i="4"/>
  <c r="AE383" i="4"/>
  <c r="AD383" i="4"/>
  <c r="AC383" i="4"/>
  <c r="O383" i="4"/>
  <c r="AB383" i="4" s="1"/>
  <c r="G383" i="4"/>
  <c r="D383" i="4"/>
  <c r="E383" i="4" s="1"/>
  <c r="AF382" i="4"/>
  <c r="AE382" i="4"/>
  <c r="AD382" i="4"/>
  <c r="AC382" i="4"/>
  <c r="O382" i="4"/>
  <c r="AB382" i="4" s="1"/>
  <c r="G382" i="4"/>
  <c r="D382" i="4"/>
  <c r="E382" i="4" s="1"/>
  <c r="AF381" i="4"/>
  <c r="AE381" i="4"/>
  <c r="AD381" i="4"/>
  <c r="AC381" i="4"/>
  <c r="O381" i="4"/>
  <c r="AB381" i="4" s="1"/>
  <c r="G381" i="4"/>
  <c r="D381" i="4"/>
  <c r="E381" i="4" s="1"/>
  <c r="AF380" i="4"/>
  <c r="AE380" i="4"/>
  <c r="AD380" i="4"/>
  <c r="AC380" i="4"/>
  <c r="O380" i="4"/>
  <c r="AB380" i="4" s="1"/>
  <c r="G380" i="4"/>
  <c r="D380" i="4"/>
  <c r="E380" i="4" s="1"/>
  <c r="AF379" i="4"/>
  <c r="AE379" i="4"/>
  <c r="AD379" i="4"/>
  <c r="AC379" i="4"/>
  <c r="O379" i="4"/>
  <c r="AB379" i="4" s="1"/>
  <c r="G379" i="4"/>
  <c r="D379" i="4"/>
  <c r="E379" i="4" s="1"/>
  <c r="AA379" i="4" s="1"/>
  <c r="AF378" i="4"/>
  <c r="AE378" i="4"/>
  <c r="AD378" i="4"/>
  <c r="AC378" i="4"/>
  <c r="O378" i="4"/>
  <c r="AB378" i="4" s="1"/>
  <c r="G378" i="4"/>
  <c r="D378" i="4"/>
  <c r="E378" i="4" s="1"/>
  <c r="AF377" i="4"/>
  <c r="AE377" i="4"/>
  <c r="AD377" i="4"/>
  <c r="AC377" i="4"/>
  <c r="O377" i="4"/>
  <c r="AB377" i="4" s="1"/>
  <c r="G377" i="4"/>
  <c r="D377" i="4"/>
  <c r="E377" i="4" s="1"/>
  <c r="AF376" i="4"/>
  <c r="AE376" i="4"/>
  <c r="AD376" i="4"/>
  <c r="AC376" i="4"/>
  <c r="O376" i="4"/>
  <c r="AB376" i="4" s="1"/>
  <c r="G376" i="4"/>
  <c r="D376" i="4"/>
  <c r="E376" i="4" s="1"/>
  <c r="AF375" i="4"/>
  <c r="AE375" i="4"/>
  <c r="AD375" i="4"/>
  <c r="AC375" i="4"/>
  <c r="O375" i="4"/>
  <c r="AB375" i="4" s="1"/>
  <c r="G375" i="4"/>
  <c r="D375" i="4"/>
  <c r="E375" i="4" s="1"/>
  <c r="AF374" i="4"/>
  <c r="AE374" i="4"/>
  <c r="AD374" i="4"/>
  <c r="AC374" i="4"/>
  <c r="O374" i="4"/>
  <c r="AB374" i="4" s="1"/>
  <c r="G374" i="4"/>
  <c r="D374" i="4"/>
  <c r="E374" i="4" s="1"/>
  <c r="AF373" i="4"/>
  <c r="AE373" i="4"/>
  <c r="AD373" i="4"/>
  <c r="AC373" i="4"/>
  <c r="O373" i="4"/>
  <c r="AB373" i="4" s="1"/>
  <c r="G373" i="4"/>
  <c r="D373" i="4"/>
  <c r="E373" i="4" s="1"/>
  <c r="AF372" i="4"/>
  <c r="AE372" i="4"/>
  <c r="AD372" i="4"/>
  <c r="AC372" i="4"/>
  <c r="O372" i="4"/>
  <c r="AB372" i="4" s="1"/>
  <c r="G372" i="4"/>
  <c r="D372" i="4"/>
  <c r="E372" i="4" s="1"/>
  <c r="AF371" i="4"/>
  <c r="AE371" i="4"/>
  <c r="AD371" i="4"/>
  <c r="AC371" i="4"/>
  <c r="O371" i="4"/>
  <c r="AB371" i="4" s="1"/>
  <c r="G371" i="4"/>
  <c r="D371" i="4"/>
  <c r="E371" i="4" s="1"/>
  <c r="AF370" i="4"/>
  <c r="AE370" i="4"/>
  <c r="AD370" i="4"/>
  <c r="AC370" i="4"/>
  <c r="O370" i="4"/>
  <c r="AB370" i="4" s="1"/>
  <c r="G370" i="4"/>
  <c r="D370" i="4"/>
  <c r="E370" i="4" s="1"/>
  <c r="AF369" i="4"/>
  <c r="AE369" i="4"/>
  <c r="AD369" i="4"/>
  <c r="AC369" i="4"/>
  <c r="O369" i="4"/>
  <c r="AB369" i="4" s="1"/>
  <c r="G369" i="4"/>
  <c r="D369" i="4"/>
  <c r="E369" i="4" s="1"/>
  <c r="AF368" i="4"/>
  <c r="AE368" i="4"/>
  <c r="AD368" i="4"/>
  <c r="AC368" i="4"/>
  <c r="O368" i="4"/>
  <c r="AB368" i="4" s="1"/>
  <c r="G368" i="4"/>
  <c r="D368" i="4"/>
  <c r="E368" i="4" s="1"/>
  <c r="AF367" i="4"/>
  <c r="AE367" i="4"/>
  <c r="AD367" i="4"/>
  <c r="AC367" i="4"/>
  <c r="O367" i="4"/>
  <c r="AB367" i="4" s="1"/>
  <c r="G367" i="4"/>
  <c r="D367" i="4"/>
  <c r="E367" i="4" s="1"/>
  <c r="AF366" i="4"/>
  <c r="AE366" i="4"/>
  <c r="AD366" i="4"/>
  <c r="AC366" i="4"/>
  <c r="O366" i="4"/>
  <c r="AB366" i="4" s="1"/>
  <c r="G366" i="4"/>
  <c r="D366" i="4"/>
  <c r="E366" i="4" s="1"/>
  <c r="AF365" i="4"/>
  <c r="AE365" i="4"/>
  <c r="AD365" i="4"/>
  <c r="AC365" i="4"/>
  <c r="O365" i="4"/>
  <c r="AB365" i="4" s="1"/>
  <c r="G365" i="4"/>
  <c r="D365" i="4"/>
  <c r="E365" i="4" s="1"/>
  <c r="AF364" i="4"/>
  <c r="AE364" i="4"/>
  <c r="AD364" i="4"/>
  <c r="AC364" i="4"/>
  <c r="O364" i="4"/>
  <c r="AB364" i="4" s="1"/>
  <c r="G364" i="4"/>
  <c r="D364" i="4"/>
  <c r="E364" i="4" s="1"/>
  <c r="AA364" i="4" s="1"/>
  <c r="AF363" i="4"/>
  <c r="AE363" i="4"/>
  <c r="AD363" i="4"/>
  <c r="AC363" i="4"/>
  <c r="O363" i="4"/>
  <c r="AB363" i="4" s="1"/>
  <c r="G363" i="4"/>
  <c r="D363" i="4"/>
  <c r="E363" i="4" s="1"/>
  <c r="AF362" i="4"/>
  <c r="AE362" i="4"/>
  <c r="AD362" i="4"/>
  <c r="AC362" i="4"/>
  <c r="O362" i="4"/>
  <c r="AB362" i="4" s="1"/>
  <c r="G362" i="4"/>
  <c r="D362" i="4"/>
  <c r="E362" i="4" s="1"/>
  <c r="AF361" i="4"/>
  <c r="AE361" i="4"/>
  <c r="AD361" i="4"/>
  <c r="AC361" i="4"/>
  <c r="O361" i="4"/>
  <c r="AB361" i="4" s="1"/>
  <c r="G361" i="4"/>
  <c r="D361" i="4"/>
  <c r="E361" i="4" s="1"/>
  <c r="AF360" i="4"/>
  <c r="AE360" i="4"/>
  <c r="AD360" i="4"/>
  <c r="AC360" i="4"/>
  <c r="O360" i="4"/>
  <c r="AB360" i="4" s="1"/>
  <c r="G360" i="4"/>
  <c r="D360" i="4"/>
  <c r="E360" i="4" s="1"/>
  <c r="AA360" i="4" s="1"/>
  <c r="AF359" i="4"/>
  <c r="AE359" i="4"/>
  <c r="AD359" i="4"/>
  <c r="AC359" i="4"/>
  <c r="O359" i="4"/>
  <c r="AB359" i="4" s="1"/>
  <c r="G359" i="4"/>
  <c r="D359" i="4"/>
  <c r="E359" i="4" s="1"/>
  <c r="AA359" i="4" s="1"/>
  <c r="AF358" i="4"/>
  <c r="AE358" i="4"/>
  <c r="AD358" i="4"/>
  <c r="AC358" i="4"/>
  <c r="O358" i="4"/>
  <c r="AB358" i="4" s="1"/>
  <c r="G358" i="4"/>
  <c r="D358" i="4"/>
  <c r="E358" i="4" s="1"/>
  <c r="AF357" i="4"/>
  <c r="AE357" i="4"/>
  <c r="AD357" i="4"/>
  <c r="AC357" i="4"/>
  <c r="O357" i="4"/>
  <c r="AB357" i="4" s="1"/>
  <c r="G357" i="4"/>
  <c r="D357" i="4"/>
  <c r="E357" i="4" s="1"/>
  <c r="AF356" i="4"/>
  <c r="AE356" i="4"/>
  <c r="AD356" i="4"/>
  <c r="AC356" i="4"/>
  <c r="O356" i="4"/>
  <c r="AB356" i="4" s="1"/>
  <c r="G356" i="4"/>
  <c r="D356" i="4"/>
  <c r="E356" i="4" s="1"/>
  <c r="AF355" i="4"/>
  <c r="AE355" i="4"/>
  <c r="AD355" i="4"/>
  <c r="AC355" i="4"/>
  <c r="O355" i="4"/>
  <c r="AB355" i="4" s="1"/>
  <c r="G355" i="4"/>
  <c r="D355" i="4"/>
  <c r="E355" i="4" s="1"/>
  <c r="AF354" i="4"/>
  <c r="AE354" i="4"/>
  <c r="AD354" i="4"/>
  <c r="AC354" i="4"/>
  <c r="O354" i="4"/>
  <c r="AB354" i="4" s="1"/>
  <c r="G354" i="4"/>
  <c r="D354" i="4"/>
  <c r="E354" i="4" s="1"/>
  <c r="AF353" i="4"/>
  <c r="AE353" i="4"/>
  <c r="AD353" i="4"/>
  <c r="AC353" i="4"/>
  <c r="O353" i="4"/>
  <c r="AB353" i="4" s="1"/>
  <c r="G353" i="4"/>
  <c r="D353" i="4"/>
  <c r="E353" i="4" s="1"/>
  <c r="AF352" i="4"/>
  <c r="AE352" i="4"/>
  <c r="AD352" i="4"/>
  <c r="AC352" i="4"/>
  <c r="O352" i="4"/>
  <c r="AB352" i="4" s="1"/>
  <c r="G352" i="4"/>
  <c r="D352" i="4"/>
  <c r="E352" i="4" s="1"/>
  <c r="AF351" i="4"/>
  <c r="AE351" i="4"/>
  <c r="AD351" i="4"/>
  <c r="AC351" i="4"/>
  <c r="O351" i="4"/>
  <c r="AB351" i="4" s="1"/>
  <c r="G351" i="4"/>
  <c r="D351" i="4"/>
  <c r="E351" i="4" s="1"/>
  <c r="AF350" i="4"/>
  <c r="AE350" i="4"/>
  <c r="AD350" i="4"/>
  <c r="AC350" i="4"/>
  <c r="O350" i="4"/>
  <c r="AB350" i="4" s="1"/>
  <c r="G350" i="4"/>
  <c r="D350" i="4"/>
  <c r="E350" i="4" s="1"/>
  <c r="AA350" i="4" s="1"/>
  <c r="AF349" i="4"/>
  <c r="AE349" i="4"/>
  <c r="AD349" i="4"/>
  <c r="AC349" i="4"/>
  <c r="O349" i="4"/>
  <c r="AB349" i="4" s="1"/>
  <c r="G349" i="4"/>
  <c r="D349" i="4"/>
  <c r="E349" i="4" s="1"/>
  <c r="AF348" i="4"/>
  <c r="AE348" i="4"/>
  <c r="AD348" i="4"/>
  <c r="AC348" i="4"/>
  <c r="O348" i="4"/>
  <c r="AB348" i="4" s="1"/>
  <c r="G348" i="4"/>
  <c r="D348" i="4"/>
  <c r="E348" i="4" s="1"/>
  <c r="AF347" i="4"/>
  <c r="AE347" i="4"/>
  <c r="AD347" i="4"/>
  <c r="AC347" i="4"/>
  <c r="O347" i="4"/>
  <c r="AB347" i="4" s="1"/>
  <c r="G347" i="4"/>
  <c r="D347" i="4"/>
  <c r="E347" i="4" s="1"/>
  <c r="AF346" i="4"/>
  <c r="AE346" i="4"/>
  <c r="AD346" i="4"/>
  <c r="AC346" i="4"/>
  <c r="O346" i="4"/>
  <c r="AB346" i="4" s="1"/>
  <c r="G346" i="4"/>
  <c r="D346" i="4"/>
  <c r="E346" i="4" s="1"/>
  <c r="AF345" i="4"/>
  <c r="AE345" i="4"/>
  <c r="AD345" i="4"/>
  <c r="AC345" i="4"/>
  <c r="O345" i="4"/>
  <c r="AB345" i="4" s="1"/>
  <c r="G345" i="4"/>
  <c r="D345" i="4"/>
  <c r="E345" i="4" s="1"/>
  <c r="AF344" i="4"/>
  <c r="AE344" i="4"/>
  <c r="AD344" i="4"/>
  <c r="AC344" i="4"/>
  <c r="O344" i="4"/>
  <c r="AB344" i="4" s="1"/>
  <c r="G344" i="4"/>
  <c r="D344" i="4"/>
  <c r="E344" i="4" s="1"/>
  <c r="AF343" i="4"/>
  <c r="AE343" i="4"/>
  <c r="AD343" i="4"/>
  <c r="AC343" i="4"/>
  <c r="O343" i="4"/>
  <c r="AB343" i="4" s="1"/>
  <c r="G343" i="4"/>
  <c r="D343" i="4"/>
  <c r="E343" i="4" s="1"/>
  <c r="AF342" i="4"/>
  <c r="AE342" i="4"/>
  <c r="AD342" i="4"/>
  <c r="AC342" i="4"/>
  <c r="O342" i="4"/>
  <c r="AB342" i="4" s="1"/>
  <c r="G342" i="4"/>
  <c r="D342" i="4"/>
  <c r="E342" i="4" s="1"/>
  <c r="AF341" i="4"/>
  <c r="AE341" i="4"/>
  <c r="AD341" i="4"/>
  <c r="AC341" i="4"/>
  <c r="O341" i="4"/>
  <c r="AB341" i="4" s="1"/>
  <c r="G341" i="4"/>
  <c r="D341" i="4"/>
  <c r="E341" i="4" s="1"/>
  <c r="AF340" i="4"/>
  <c r="AE340" i="4"/>
  <c r="AD340" i="4"/>
  <c r="AC340" i="4"/>
  <c r="O340" i="4"/>
  <c r="AB340" i="4" s="1"/>
  <c r="G340" i="4"/>
  <c r="D340" i="4"/>
  <c r="E340" i="4" s="1"/>
  <c r="AA340" i="4" s="1"/>
  <c r="AF339" i="4"/>
  <c r="AE339" i="4"/>
  <c r="AD339" i="4"/>
  <c r="AC339" i="4"/>
  <c r="O339" i="4"/>
  <c r="AB339" i="4" s="1"/>
  <c r="G339" i="4"/>
  <c r="D339" i="4"/>
  <c r="E339" i="4" s="1"/>
  <c r="AF338" i="4"/>
  <c r="AE338" i="4"/>
  <c r="AD338" i="4"/>
  <c r="AC338" i="4"/>
  <c r="O338" i="4"/>
  <c r="AB338" i="4" s="1"/>
  <c r="G338" i="4"/>
  <c r="D338" i="4"/>
  <c r="E338" i="4" s="1"/>
  <c r="AF337" i="4"/>
  <c r="AE337" i="4"/>
  <c r="AD337" i="4"/>
  <c r="AC337" i="4"/>
  <c r="O337" i="4"/>
  <c r="AB337" i="4" s="1"/>
  <c r="G337" i="4"/>
  <c r="D337" i="4"/>
  <c r="E337" i="4" s="1"/>
  <c r="AF336" i="4"/>
  <c r="AE336" i="4"/>
  <c r="AD336" i="4"/>
  <c r="AC336" i="4"/>
  <c r="O336" i="4"/>
  <c r="AB336" i="4" s="1"/>
  <c r="G336" i="4"/>
  <c r="D336" i="4"/>
  <c r="E336" i="4" s="1"/>
  <c r="AA336" i="4" s="1"/>
  <c r="AF335" i="4"/>
  <c r="AE335" i="4"/>
  <c r="AD335" i="4"/>
  <c r="AC335" i="4"/>
  <c r="O335" i="4"/>
  <c r="AB335" i="4" s="1"/>
  <c r="G335" i="4"/>
  <c r="D335" i="4"/>
  <c r="E335" i="4" s="1"/>
  <c r="AA335" i="4" s="1"/>
  <c r="AF334" i="4"/>
  <c r="AE334" i="4"/>
  <c r="AD334" i="4"/>
  <c r="AC334" i="4"/>
  <c r="O334" i="4"/>
  <c r="AB334" i="4" s="1"/>
  <c r="G334" i="4"/>
  <c r="D334" i="4"/>
  <c r="E334" i="4" s="1"/>
  <c r="AF333" i="4"/>
  <c r="AE333" i="4"/>
  <c r="AD333" i="4"/>
  <c r="AC333" i="4"/>
  <c r="O333" i="4"/>
  <c r="AB333" i="4" s="1"/>
  <c r="G333" i="4"/>
  <c r="D333" i="4"/>
  <c r="E333" i="4" s="1"/>
  <c r="AF332" i="4"/>
  <c r="AE332" i="4"/>
  <c r="AD332" i="4"/>
  <c r="AC332" i="4"/>
  <c r="O332" i="4"/>
  <c r="AB332" i="4" s="1"/>
  <c r="G332" i="4"/>
  <c r="D332" i="4"/>
  <c r="E332" i="4" s="1"/>
  <c r="AF331" i="4"/>
  <c r="AE331" i="4"/>
  <c r="AD331" i="4"/>
  <c r="AC331" i="4"/>
  <c r="O331" i="4"/>
  <c r="AB331" i="4" s="1"/>
  <c r="G331" i="4"/>
  <c r="D331" i="4"/>
  <c r="E331" i="4" s="1"/>
  <c r="AF330" i="4"/>
  <c r="AE330" i="4"/>
  <c r="AD330" i="4"/>
  <c r="AC330" i="4"/>
  <c r="O330" i="4"/>
  <c r="AB330" i="4" s="1"/>
  <c r="G330" i="4"/>
  <c r="D330" i="4"/>
  <c r="E330" i="4" s="1"/>
  <c r="AA330" i="4" s="1"/>
  <c r="AF329" i="4"/>
  <c r="AE329" i="4"/>
  <c r="AD329" i="4"/>
  <c r="AC329" i="4"/>
  <c r="O329" i="4"/>
  <c r="AB329" i="4" s="1"/>
  <c r="G329" i="4"/>
  <c r="D329" i="4"/>
  <c r="E329" i="4" s="1"/>
  <c r="AF328" i="4"/>
  <c r="AE328" i="4"/>
  <c r="AD328" i="4"/>
  <c r="AC328" i="4"/>
  <c r="O328" i="4"/>
  <c r="AB328" i="4" s="1"/>
  <c r="G328" i="4"/>
  <c r="D328" i="4"/>
  <c r="E328" i="4" s="1"/>
  <c r="AF327" i="4"/>
  <c r="AE327" i="4"/>
  <c r="AD327" i="4"/>
  <c r="AC327" i="4"/>
  <c r="O327" i="4"/>
  <c r="AB327" i="4" s="1"/>
  <c r="G327" i="4"/>
  <c r="D327" i="4"/>
  <c r="E327" i="4" s="1"/>
  <c r="AF326" i="4"/>
  <c r="AE326" i="4"/>
  <c r="AD326" i="4"/>
  <c r="AC326" i="4"/>
  <c r="O326" i="4"/>
  <c r="AB326" i="4" s="1"/>
  <c r="G326" i="4"/>
  <c r="D326" i="4"/>
  <c r="E326" i="4" s="1"/>
  <c r="AF325" i="4"/>
  <c r="AE325" i="4"/>
  <c r="AD325" i="4"/>
  <c r="AC325" i="4"/>
  <c r="O325" i="4"/>
  <c r="AB325" i="4" s="1"/>
  <c r="G325" i="4"/>
  <c r="D325" i="4"/>
  <c r="E325" i="4" s="1"/>
  <c r="AF324" i="4"/>
  <c r="AE324" i="4"/>
  <c r="AD324" i="4"/>
  <c r="AC324" i="4"/>
  <c r="O324" i="4"/>
  <c r="AB324" i="4" s="1"/>
  <c r="G324" i="4"/>
  <c r="D324" i="4"/>
  <c r="E324" i="4" s="1"/>
  <c r="AF323" i="4"/>
  <c r="AE323" i="4"/>
  <c r="AD323" i="4"/>
  <c r="AC323" i="4"/>
  <c r="O323" i="4"/>
  <c r="AB323" i="4" s="1"/>
  <c r="G323" i="4"/>
  <c r="D323" i="4"/>
  <c r="E323" i="4" s="1"/>
  <c r="AF322" i="4"/>
  <c r="AE322" i="4"/>
  <c r="AD322" i="4"/>
  <c r="AC322" i="4"/>
  <c r="O322" i="4"/>
  <c r="AB322" i="4" s="1"/>
  <c r="G322" i="4"/>
  <c r="D322" i="4"/>
  <c r="E322" i="4" s="1"/>
  <c r="AF321" i="4"/>
  <c r="AE321" i="4"/>
  <c r="AD321" i="4"/>
  <c r="AC321" i="4"/>
  <c r="O321" i="4"/>
  <c r="AB321" i="4" s="1"/>
  <c r="G321" i="4"/>
  <c r="D321" i="4"/>
  <c r="E321" i="4" s="1"/>
  <c r="AF320" i="4"/>
  <c r="AE320" i="4"/>
  <c r="AD320" i="4"/>
  <c r="AC320" i="4"/>
  <c r="O320" i="4"/>
  <c r="AB320" i="4" s="1"/>
  <c r="G320" i="4"/>
  <c r="D320" i="4"/>
  <c r="E320" i="4" s="1"/>
  <c r="AF319" i="4"/>
  <c r="AE319" i="4"/>
  <c r="AD319" i="4"/>
  <c r="AC319" i="4"/>
  <c r="O319" i="4"/>
  <c r="AB319" i="4" s="1"/>
  <c r="G319" i="4"/>
  <c r="D319" i="4"/>
  <c r="E319" i="4" s="1"/>
  <c r="AF318" i="4"/>
  <c r="AE318" i="4"/>
  <c r="AD318" i="4"/>
  <c r="AC318" i="4"/>
  <c r="O318" i="4"/>
  <c r="AB318" i="4" s="1"/>
  <c r="G318" i="4"/>
  <c r="D318" i="4"/>
  <c r="E318" i="4" s="1"/>
  <c r="AF317" i="4"/>
  <c r="AE317" i="4"/>
  <c r="AD317" i="4"/>
  <c r="AC317" i="4"/>
  <c r="O317" i="4"/>
  <c r="AB317" i="4" s="1"/>
  <c r="G317" i="4"/>
  <c r="D317" i="4"/>
  <c r="E317" i="4" s="1"/>
  <c r="AF316" i="4"/>
  <c r="AE316" i="4"/>
  <c r="AD316" i="4"/>
  <c r="AC316" i="4"/>
  <c r="O316" i="4"/>
  <c r="AB316" i="4" s="1"/>
  <c r="G316" i="4"/>
  <c r="D316" i="4"/>
  <c r="E316" i="4" s="1"/>
  <c r="AF315" i="4"/>
  <c r="AE315" i="4"/>
  <c r="AD315" i="4"/>
  <c r="AC315" i="4"/>
  <c r="O315" i="4"/>
  <c r="AB315" i="4" s="1"/>
  <c r="G315" i="4"/>
  <c r="D315" i="4"/>
  <c r="E315" i="4" s="1"/>
  <c r="AF314" i="4"/>
  <c r="AE314" i="4"/>
  <c r="AD314" i="4"/>
  <c r="AC314" i="4"/>
  <c r="O314" i="4"/>
  <c r="AB314" i="4" s="1"/>
  <c r="G314" i="4"/>
  <c r="D314" i="4"/>
  <c r="E314" i="4" s="1"/>
  <c r="AF313" i="4"/>
  <c r="AE313" i="4"/>
  <c r="AD313" i="4"/>
  <c r="AC313" i="4"/>
  <c r="O313" i="4"/>
  <c r="AB313" i="4" s="1"/>
  <c r="G313" i="4"/>
  <c r="D313" i="4"/>
  <c r="E313" i="4" s="1"/>
  <c r="AA313" i="4" s="1"/>
  <c r="AF312" i="4"/>
  <c r="AE312" i="4"/>
  <c r="AD312" i="4"/>
  <c r="AC312" i="4"/>
  <c r="O312" i="4"/>
  <c r="AB312" i="4" s="1"/>
  <c r="G312" i="4"/>
  <c r="D312" i="4"/>
  <c r="E312" i="4" s="1"/>
  <c r="AF311" i="4"/>
  <c r="AE311" i="4"/>
  <c r="AD311" i="4"/>
  <c r="AC311" i="4"/>
  <c r="O311" i="4"/>
  <c r="AB311" i="4" s="1"/>
  <c r="G311" i="4"/>
  <c r="D311" i="4"/>
  <c r="E311" i="4" s="1"/>
  <c r="AF310" i="4"/>
  <c r="AE310" i="4"/>
  <c r="AD310" i="4"/>
  <c r="AC310" i="4"/>
  <c r="O310" i="4"/>
  <c r="AB310" i="4" s="1"/>
  <c r="G310" i="4"/>
  <c r="D310" i="4"/>
  <c r="E310" i="4" s="1"/>
  <c r="AF309" i="4"/>
  <c r="AE309" i="4"/>
  <c r="AD309" i="4"/>
  <c r="AC309" i="4"/>
  <c r="O309" i="4"/>
  <c r="AB309" i="4" s="1"/>
  <c r="G309" i="4"/>
  <c r="D309" i="4"/>
  <c r="E309" i="4" s="1"/>
  <c r="AF308" i="4"/>
  <c r="AE308" i="4"/>
  <c r="AD308" i="4"/>
  <c r="AC308" i="4"/>
  <c r="O308" i="4"/>
  <c r="AB308" i="4" s="1"/>
  <c r="G308" i="4"/>
  <c r="D308" i="4"/>
  <c r="E308" i="4" s="1"/>
  <c r="AF307" i="4"/>
  <c r="AE307" i="4"/>
  <c r="AD307" i="4"/>
  <c r="AC307" i="4"/>
  <c r="O307" i="4"/>
  <c r="AB307" i="4" s="1"/>
  <c r="G307" i="4"/>
  <c r="D307" i="4"/>
  <c r="E307" i="4" s="1"/>
  <c r="AF306" i="4"/>
  <c r="AE306" i="4"/>
  <c r="AD306" i="4"/>
  <c r="AC306" i="4"/>
  <c r="O306" i="4"/>
  <c r="AB306" i="4" s="1"/>
  <c r="G306" i="4"/>
  <c r="D306" i="4"/>
  <c r="E306" i="4" s="1"/>
  <c r="AF305" i="4"/>
  <c r="AE305" i="4"/>
  <c r="AD305" i="4"/>
  <c r="AC305" i="4"/>
  <c r="O305" i="4"/>
  <c r="AB305" i="4" s="1"/>
  <c r="G305" i="4"/>
  <c r="D305" i="4"/>
  <c r="E305" i="4" s="1"/>
  <c r="AF304" i="4"/>
  <c r="AE304" i="4"/>
  <c r="AD304" i="4"/>
  <c r="AC304" i="4"/>
  <c r="O304" i="4"/>
  <c r="AB304" i="4" s="1"/>
  <c r="G304" i="4"/>
  <c r="D304" i="4"/>
  <c r="E304" i="4" s="1"/>
  <c r="AA304" i="4" s="1"/>
  <c r="AF303" i="4"/>
  <c r="AE303" i="4"/>
  <c r="AD303" i="4"/>
  <c r="AC303" i="4"/>
  <c r="O303" i="4"/>
  <c r="AB303" i="4" s="1"/>
  <c r="G303" i="4"/>
  <c r="D303" i="4"/>
  <c r="E303" i="4" s="1"/>
  <c r="AF302" i="4"/>
  <c r="AE302" i="4"/>
  <c r="AD302" i="4"/>
  <c r="AC302" i="4"/>
  <c r="O302" i="4"/>
  <c r="AB302" i="4" s="1"/>
  <c r="G302" i="4"/>
  <c r="D302" i="4"/>
  <c r="E302" i="4" s="1"/>
  <c r="AF301" i="4"/>
  <c r="AE301" i="4"/>
  <c r="AD301" i="4"/>
  <c r="AC301" i="4"/>
  <c r="O301" i="4"/>
  <c r="AB301" i="4" s="1"/>
  <c r="G301" i="4"/>
  <c r="D301" i="4"/>
  <c r="E301" i="4" s="1"/>
  <c r="AF300" i="4"/>
  <c r="AE300" i="4"/>
  <c r="AD300" i="4"/>
  <c r="AC300" i="4"/>
  <c r="O300" i="4"/>
  <c r="AB300" i="4" s="1"/>
  <c r="G300" i="4"/>
  <c r="D300" i="4"/>
  <c r="E300" i="4" s="1"/>
  <c r="AF299" i="4"/>
  <c r="AE299" i="4"/>
  <c r="AD299" i="4"/>
  <c r="AC299" i="4"/>
  <c r="O299" i="4"/>
  <c r="AB299" i="4" s="1"/>
  <c r="G299" i="4"/>
  <c r="D299" i="4"/>
  <c r="E299" i="4" s="1"/>
  <c r="AF298" i="4"/>
  <c r="AE298" i="4"/>
  <c r="AD298" i="4"/>
  <c r="AC298" i="4"/>
  <c r="O298" i="4"/>
  <c r="AB298" i="4" s="1"/>
  <c r="G298" i="4"/>
  <c r="D298" i="4"/>
  <c r="E298" i="4" s="1"/>
  <c r="AF297" i="4"/>
  <c r="AE297" i="4"/>
  <c r="AD297" i="4"/>
  <c r="AC297" i="4"/>
  <c r="O297" i="4"/>
  <c r="AB297" i="4" s="1"/>
  <c r="G297" i="4"/>
  <c r="D297" i="4"/>
  <c r="E297" i="4" s="1"/>
  <c r="AF296" i="4"/>
  <c r="AE296" i="4"/>
  <c r="AD296" i="4"/>
  <c r="AC296" i="4"/>
  <c r="O296" i="4"/>
  <c r="AB296" i="4" s="1"/>
  <c r="G296" i="4"/>
  <c r="D296" i="4"/>
  <c r="E296" i="4" s="1"/>
  <c r="AF295" i="4"/>
  <c r="AE295" i="4"/>
  <c r="AD295" i="4"/>
  <c r="AC295" i="4"/>
  <c r="O295" i="4"/>
  <c r="AB295" i="4" s="1"/>
  <c r="G295" i="4"/>
  <c r="D295" i="4"/>
  <c r="E295" i="4" s="1"/>
  <c r="AF294" i="4"/>
  <c r="AE294" i="4"/>
  <c r="AD294" i="4"/>
  <c r="AC294" i="4"/>
  <c r="O294" i="4"/>
  <c r="AB294" i="4" s="1"/>
  <c r="G294" i="4"/>
  <c r="D294" i="4"/>
  <c r="E294" i="4" s="1"/>
  <c r="AF293" i="4"/>
  <c r="AE293" i="4"/>
  <c r="AD293" i="4"/>
  <c r="AC293" i="4"/>
  <c r="O293" i="4"/>
  <c r="AB293" i="4" s="1"/>
  <c r="G293" i="4"/>
  <c r="D293" i="4"/>
  <c r="E293" i="4" s="1"/>
  <c r="AF292" i="4"/>
  <c r="AE292" i="4"/>
  <c r="AD292" i="4"/>
  <c r="AC292" i="4"/>
  <c r="O292" i="4"/>
  <c r="AB292" i="4" s="1"/>
  <c r="G292" i="4"/>
  <c r="D292" i="4"/>
  <c r="E292" i="4" s="1"/>
  <c r="AF291" i="4"/>
  <c r="AE291" i="4"/>
  <c r="AD291" i="4"/>
  <c r="AC291" i="4"/>
  <c r="O291" i="4"/>
  <c r="AB291" i="4" s="1"/>
  <c r="G291" i="4"/>
  <c r="D291" i="4"/>
  <c r="E291" i="4" s="1"/>
  <c r="AF290" i="4"/>
  <c r="AE290" i="4"/>
  <c r="AD290" i="4"/>
  <c r="AC290" i="4"/>
  <c r="O290" i="4"/>
  <c r="AB290" i="4" s="1"/>
  <c r="G290" i="4"/>
  <c r="D290" i="4"/>
  <c r="E290" i="4" s="1"/>
  <c r="AF289" i="4"/>
  <c r="AE289" i="4"/>
  <c r="AD289" i="4"/>
  <c r="AC289" i="4"/>
  <c r="O289" i="4"/>
  <c r="AB289" i="4" s="1"/>
  <c r="G289" i="4"/>
  <c r="D289" i="4"/>
  <c r="E289" i="4" s="1"/>
  <c r="AF288" i="4"/>
  <c r="AE288" i="4"/>
  <c r="AD288" i="4"/>
  <c r="AC288" i="4"/>
  <c r="O288" i="4"/>
  <c r="AB288" i="4" s="1"/>
  <c r="G288" i="4"/>
  <c r="D288" i="4"/>
  <c r="E288" i="4" s="1"/>
  <c r="AF287" i="4"/>
  <c r="AE287" i="4"/>
  <c r="AD287" i="4"/>
  <c r="AC287" i="4"/>
  <c r="O287" i="4"/>
  <c r="AB287" i="4" s="1"/>
  <c r="G287" i="4"/>
  <c r="D287" i="4"/>
  <c r="E287" i="4" s="1"/>
  <c r="AF286" i="4"/>
  <c r="AE286" i="4"/>
  <c r="AD286" i="4"/>
  <c r="AC286" i="4"/>
  <c r="O286" i="4"/>
  <c r="AB286" i="4" s="1"/>
  <c r="G286" i="4"/>
  <c r="D286" i="4"/>
  <c r="E286" i="4" s="1"/>
  <c r="AF285" i="4"/>
  <c r="AE285" i="4"/>
  <c r="AD285" i="4"/>
  <c r="AC285" i="4"/>
  <c r="O285" i="4"/>
  <c r="AB285" i="4" s="1"/>
  <c r="G285" i="4"/>
  <c r="D285" i="4"/>
  <c r="E285" i="4" s="1"/>
  <c r="AF284" i="4"/>
  <c r="AE284" i="4"/>
  <c r="AD284" i="4"/>
  <c r="AC284" i="4"/>
  <c r="O284" i="4"/>
  <c r="AB284" i="4" s="1"/>
  <c r="G284" i="4"/>
  <c r="D284" i="4"/>
  <c r="E284" i="4" s="1"/>
  <c r="AF283" i="4"/>
  <c r="AE283" i="4"/>
  <c r="AD283" i="4"/>
  <c r="AC283" i="4"/>
  <c r="O283" i="4"/>
  <c r="AB283" i="4" s="1"/>
  <c r="G283" i="4"/>
  <c r="D283" i="4"/>
  <c r="E283" i="4" s="1"/>
  <c r="AF282" i="4"/>
  <c r="AE282" i="4"/>
  <c r="AD282" i="4"/>
  <c r="AC282" i="4"/>
  <c r="O282" i="4"/>
  <c r="AB282" i="4" s="1"/>
  <c r="G282" i="4"/>
  <c r="D282" i="4"/>
  <c r="E282" i="4" s="1"/>
  <c r="AF281" i="4"/>
  <c r="AE281" i="4"/>
  <c r="AD281" i="4"/>
  <c r="AC281" i="4"/>
  <c r="O281" i="4"/>
  <c r="AB281" i="4" s="1"/>
  <c r="G281" i="4"/>
  <c r="D281" i="4"/>
  <c r="E281" i="4" s="1"/>
  <c r="AF280" i="4"/>
  <c r="AE280" i="4"/>
  <c r="AD280" i="4"/>
  <c r="AC280" i="4"/>
  <c r="O280" i="4"/>
  <c r="AB280" i="4" s="1"/>
  <c r="G280" i="4"/>
  <c r="D280" i="4"/>
  <c r="E280" i="4" s="1"/>
  <c r="AF279" i="4"/>
  <c r="AE279" i="4"/>
  <c r="AD279" i="4"/>
  <c r="AC279" i="4"/>
  <c r="O279" i="4"/>
  <c r="AB279" i="4" s="1"/>
  <c r="G279" i="4"/>
  <c r="D279" i="4"/>
  <c r="E279" i="4" s="1"/>
  <c r="AF278" i="4"/>
  <c r="AE278" i="4"/>
  <c r="AD278" i="4"/>
  <c r="AC278" i="4"/>
  <c r="O278" i="4"/>
  <c r="AB278" i="4" s="1"/>
  <c r="G278" i="4"/>
  <c r="D278" i="4"/>
  <c r="E278" i="4" s="1"/>
  <c r="AF277" i="4"/>
  <c r="AE277" i="4"/>
  <c r="AD277" i="4"/>
  <c r="AC277" i="4"/>
  <c r="O277" i="4"/>
  <c r="AB277" i="4" s="1"/>
  <c r="G277" i="4"/>
  <c r="D277" i="4"/>
  <c r="E277" i="4" s="1"/>
  <c r="AF276" i="4"/>
  <c r="AE276" i="4"/>
  <c r="AD276" i="4"/>
  <c r="AC276" i="4"/>
  <c r="O276" i="4"/>
  <c r="AB276" i="4" s="1"/>
  <c r="G276" i="4"/>
  <c r="D276" i="4"/>
  <c r="E276" i="4" s="1"/>
  <c r="AF275" i="4"/>
  <c r="AE275" i="4"/>
  <c r="AD275" i="4"/>
  <c r="AC275" i="4"/>
  <c r="O275" i="4"/>
  <c r="AB275" i="4" s="1"/>
  <c r="G275" i="4"/>
  <c r="D275" i="4"/>
  <c r="E275" i="4" s="1"/>
  <c r="AF274" i="4"/>
  <c r="AE274" i="4"/>
  <c r="AD274" i="4"/>
  <c r="AC274" i="4"/>
  <c r="O274" i="4"/>
  <c r="AB274" i="4" s="1"/>
  <c r="G274" i="4"/>
  <c r="D274" i="4"/>
  <c r="E274" i="4" s="1"/>
  <c r="AF273" i="4"/>
  <c r="AE273" i="4"/>
  <c r="AD273" i="4"/>
  <c r="AC273" i="4"/>
  <c r="O273" i="4"/>
  <c r="AB273" i="4" s="1"/>
  <c r="G273" i="4"/>
  <c r="D273" i="4"/>
  <c r="E273" i="4" s="1"/>
  <c r="AF272" i="4"/>
  <c r="AE272" i="4"/>
  <c r="AD272" i="4"/>
  <c r="AC272" i="4"/>
  <c r="O272" i="4"/>
  <c r="AB272" i="4" s="1"/>
  <c r="G272" i="4"/>
  <c r="D272" i="4"/>
  <c r="E272" i="4" s="1"/>
  <c r="AF271" i="4"/>
  <c r="AE271" i="4"/>
  <c r="AD271" i="4"/>
  <c r="AC271" i="4"/>
  <c r="O271" i="4"/>
  <c r="AB271" i="4" s="1"/>
  <c r="G271" i="4"/>
  <c r="D271" i="4"/>
  <c r="E271" i="4" s="1"/>
  <c r="AF270" i="4"/>
  <c r="AE270" i="4"/>
  <c r="AD270" i="4"/>
  <c r="AC270" i="4"/>
  <c r="O270" i="4"/>
  <c r="AB270" i="4" s="1"/>
  <c r="G270" i="4"/>
  <c r="D270" i="4"/>
  <c r="E270" i="4" s="1"/>
  <c r="AF269" i="4"/>
  <c r="AE269" i="4"/>
  <c r="AD269" i="4"/>
  <c r="AC269" i="4"/>
  <c r="O269" i="4"/>
  <c r="AB269" i="4" s="1"/>
  <c r="G269" i="4"/>
  <c r="D269" i="4"/>
  <c r="E269" i="4" s="1"/>
  <c r="AF268" i="4"/>
  <c r="AE268" i="4"/>
  <c r="AD268" i="4"/>
  <c r="AC268" i="4"/>
  <c r="O268" i="4"/>
  <c r="AB268" i="4" s="1"/>
  <c r="G268" i="4"/>
  <c r="D268" i="4"/>
  <c r="E268" i="4" s="1"/>
  <c r="AF267" i="4"/>
  <c r="AE267" i="4"/>
  <c r="AD267" i="4"/>
  <c r="AC267" i="4"/>
  <c r="O267" i="4"/>
  <c r="AB267" i="4" s="1"/>
  <c r="G267" i="4"/>
  <c r="D267" i="4"/>
  <c r="E267" i="4" s="1"/>
  <c r="AF266" i="4"/>
  <c r="AE266" i="4"/>
  <c r="AD266" i="4"/>
  <c r="AC266" i="4"/>
  <c r="O266" i="4"/>
  <c r="AB266" i="4" s="1"/>
  <c r="G266" i="4"/>
  <c r="D266" i="4"/>
  <c r="E266" i="4" s="1"/>
  <c r="AF265" i="4"/>
  <c r="AE265" i="4"/>
  <c r="AD265" i="4"/>
  <c r="AC265" i="4"/>
  <c r="O265" i="4"/>
  <c r="AB265" i="4" s="1"/>
  <c r="G265" i="4"/>
  <c r="D265" i="4"/>
  <c r="E265" i="4" s="1"/>
  <c r="AF264" i="4"/>
  <c r="AE264" i="4"/>
  <c r="AD264" i="4"/>
  <c r="AC264" i="4"/>
  <c r="O264" i="4"/>
  <c r="AB264" i="4" s="1"/>
  <c r="G264" i="4"/>
  <c r="D264" i="4"/>
  <c r="E264" i="4" s="1"/>
  <c r="AF263" i="4"/>
  <c r="AE263" i="4"/>
  <c r="AD263" i="4"/>
  <c r="AC263" i="4"/>
  <c r="O263" i="4"/>
  <c r="AB263" i="4" s="1"/>
  <c r="G263" i="4"/>
  <c r="D263" i="4"/>
  <c r="E263" i="4" s="1"/>
  <c r="AF262" i="4"/>
  <c r="AE262" i="4"/>
  <c r="AD262" i="4"/>
  <c r="AC262" i="4"/>
  <c r="O262" i="4"/>
  <c r="AB262" i="4" s="1"/>
  <c r="G262" i="4"/>
  <c r="D262" i="4"/>
  <c r="E262" i="4" s="1"/>
  <c r="AF261" i="4"/>
  <c r="AE261" i="4"/>
  <c r="AD261" i="4"/>
  <c r="AC261" i="4"/>
  <c r="O261" i="4"/>
  <c r="AB261" i="4" s="1"/>
  <c r="G261" i="4"/>
  <c r="D261" i="4"/>
  <c r="E261" i="4" s="1"/>
  <c r="AF260" i="4"/>
  <c r="AE260" i="4"/>
  <c r="AD260" i="4"/>
  <c r="AC260" i="4"/>
  <c r="O260" i="4"/>
  <c r="AB260" i="4" s="1"/>
  <c r="G260" i="4"/>
  <c r="D260" i="4"/>
  <c r="E260" i="4" s="1"/>
  <c r="AF259" i="4"/>
  <c r="AE259" i="4"/>
  <c r="AD259" i="4"/>
  <c r="AC259" i="4"/>
  <c r="O259" i="4"/>
  <c r="AB259" i="4" s="1"/>
  <c r="G259" i="4"/>
  <c r="D259" i="4"/>
  <c r="E259" i="4" s="1"/>
  <c r="AF258" i="4"/>
  <c r="AE258" i="4"/>
  <c r="AD258" i="4"/>
  <c r="AC258" i="4"/>
  <c r="O258" i="4"/>
  <c r="AB258" i="4" s="1"/>
  <c r="G258" i="4"/>
  <c r="D258" i="4"/>
  <c r="E258" i="4" s="1"/>
  <c r="AF257" i="4"/>
  <c r="AE257" i="4"/>
  <c r="AD257" i="4"/>
  <c r="AC257" i="4"/>
  <c r="O257" i="4"/>
  <c r="AB257" i="4" s="1"/>
  <c r="G257" i="4"/>
  <c r="D257" i="4"/>
  <c r="E257" i="4" s="1"/>
  <c r="AF256" i="4"/>
  <c r="AE256" i="4"/>
  <c r="AD256" i="4"/>
  <c r="AC256" i="4"/>
  <c r="O256" i="4"/>
  <c r="AB256" i="4" s="1"/>
  <c r="G256" i="4"/>
  <c r="D256" i="4"/>
  <c r="E256" i="4" s="1"/>
  <c r="AF255" i="4"/>
  <c r="AE255" i="4"/>
  <c r="AD255" i="4"/>
  <c r="AC255" i="4"/>
  <c r="O255" i="4"/>
  <c r="AB255" i="4" s="1"/>
  <c r="G255" i="4"/>
  <c r="D255" i="4"/>
  <c r="E255" i="4" s="1"/>
  <c r="AF254" i="4"/>
  <c r="AE254" i="4"/>
  <c r="AD254" i="4"/>
  <c r="AC254" i="4"/>
  <c r="O254" i="4"/>
  <c r="AB254" i="4" s="1"/>
  <c r="G254" i="4"/>
  <c r="D254" i="4"/>
  <c r="E254" i="4" s="1"/>
  <c r="AF253" i="4"/>
  <c r="AE253" i="4"/>
  <c r="AD253" i="4"/>
  <c r="AC253" i="4"/>
  <c r="O253" i="4"/>
  <c r="AB253" i="4" s="1"/>
  <c r="G253" i="4"/>
  <c r="D253" i="4"/>
  <c r="E253" i="4" s="1"/>
  <c r="AF252" i="4"/>
  <c r="AE252" i="4"/>
  <c r="AD252" i="4"/>
  <c r="AC252" i="4"/>
  <c r="O252" i="4"/>
  <c r="AB252" i="4" s="1"/>
  <c r="G252" i="4"/>
  <c r="D252" i="4"/>
  <c r="E252" i="4" s="1"/>
  <c r="AF251" i="4"/>
  <c r="AE251" i="4"/>
  <c r="AD251" i="4"/>
  <c r="AC251" i="4"/>
  <c r="O251" i="4"/>
  <c r="AB251" i="4" s="1"/>
  <c r="G251" i="4"/>
  <c r="D251" i="4"/>
  <c r="E251" i="4" s="1"/>
  <c r="AF250" i="4"/>
  <c r="AE250" i="4"/>
  <c r="AD250" i="4"/>
  <c r="AC250" i="4"/>
  <c r="O250" i="4"/>
  <c r="AB250" i="4" s="1"/>
  <c r="G250" i="4"/>
  <c r="D250" i="4"/>
  <c r="E250" i="4" s="1"/>
  <c r="AF249" i="4"/>
  <c r="AE249" i="4"/>
  <c r="AD249" i="4"/>
  <c r="AC249" i="4"/>
  <c r="O249" i="4"/>
  <c r="AB249" i="4" s="1"/>
  <c r="G249" i="4"/>
  <c r="D249" i="4"/>
  <c r="E249" i="4" s="1"/>
  <c r="AF248" i="4"/>
  <c r="AE248" i="4"/>
  <c r="AD248" i="4"/>
  <c r="AC248" i="4"/>
  <c r="O248" i="4"/>
  <c r="AB248" i="4" s="1"/>
  <c r="G248" i="4"/>
  <c r="D248" i="4"/>
  <c r="E248" i="4" s="1"/>
  <c r="AF247" i="4"/>
  <c r="AE247" i="4"/>
  <c r="AD247" i="4"/>
  <c r="AC247" i="4"/>
  <c r="O247" i="4"/>
  <c r="AB247" i="4" s="1"/>
  <c r="G247" i="4"/>
  <c r="D247" i="4"/>
  <c r="E247" i="4" s="1"/>
  <c r="AF246" i="4"/>
  <c r="AE246" i="4"/>
  <c r="AD246" i="4"/>
  <c r="AC246" i="4"/>
  <c r="O246" i="4"/>
  <c r="AB246" i="4" s="1"/>
  <c r="G246" i="4"/>
  <c r="D246" i="4"/>
  <c r="E246" i="4" s="1"/>
  <c r="AF245" i="4"/>
  <c r="AE245" i="4"/>
  <c r="AD245" i="4"/>
  <c r="AC245" i="4"/>
  <c r="O245" i="4"/>
  <c r="AB245" i="4" s="1"/>
  <c r="G245" i="4"/>
  <c r="E245" i="4"/>
  <c r="D245" i="4"/>
  <c r="AF244" i="4"/>
  <c r="AE244" i="4"/>
  <c r="AD244" i="4"/>
  <c r="AC244" i="4"/>
  <c r="O244" i="4"/>
  <c r="AB244" i="4" s="1"/>
  <c r="G244" i="4"/>
  <c r="D244" i="4"/>
  <c r="E244" i="4" s="1"/>
  <c r="AF243" i="4"/>
  <c r="AE243" i="4"/>
  <c r="AD243" i="4"/>
  <c r="AC243" i="4"/>
  <c r="O243" i="4"/>
  <c r="AB243" i="4" s="1"/>
  <c r="G243" i="4"/>
  <c r="D243" i="4"/>
  <c r="E243" i="4" s="1"/>
  <c r="AF242" i="4"/>
  <c r="AE242" i="4"/>
  <c r="AD242" i="4"/>
  <c r="AC242" i="4"/>
  <c r="O242" i="4"/>
  <c r="AB242" i="4" s="1"/>
  <c r="G242" i="4"/>
  <c r="D242" i="4"/>
  <c r="E242" i="4" s="1"/>
  <c r="AF241" i="4"/>
  <c r="AE241" i="4"/>
  <c r="AD241" i="4"/>
  <c r="AC241" i="4"/>
  <c r="O241" i="4"/>
  <c r="AB241" i="4" s="1"/>
  <c r="G241" i="4"/>
  <c r="D241" i="4"/>
  <c r="E241" i="4" s="1"/>
  <c r="AF240" i="4"/>
  <c r="AE240" i="4"/>
  <c r="AD240" i="4"/>
  <c r="AC240" i="4"/>
  <c r="O240" i="4"/>
  <c r="AB240" i="4" s="1"/>
  <c r="G240" i="4"/>
  <c r="AA240" i="4" s="1"/>
  <c r="D240" i="4"/>
  <c r="E240" i="4" s="1"/>
  <c r="AF239" i="4"/>
  <c r="AE239" i="4"/>
  <c r="AD239" i="4"/>
  <c r="AC239" i="4"/>
  <c r="O239" i="4"/>
  <c r="AB239" i="4" s="1"/>
  <c r="G239" i="4"/>
  <c r="D239" i="4"/>
  <c r="E239" i="4" s="1"/>
  <c r="AF238" i="4"/>
  <c r="AE238" i="4"/>
  <c r="AD238" i="4"/>
  <c r="AC238" i="4"/>
  <c r="O238" i="4"/>
  <c r="AB238" i="4" s="1"/>
  <c r="G238" i="4"/>
  <c r="D238" i="4"/>
  <c r="E238" i="4" s="1"/>
  <c r="AF237" i="4"/>
  <c r="AE237" i="4"/>
  <c r="AD237" i="4"/>
  <c r="AC237" i="4"/>
  <c r="O237" i="4"/>
  <c r="AB237" i="4" s="1"/>
  <c r="G237" i="4"/>
  <c r="D237" i="4"/>
  <c r="E237" i="4" s="1"/>
  <c r="AF236" i="4"/>
  <c r="AE236" i="4"/>
  <c r="AD236" i="4"/>
  <c r="AC236" i="4"/>
  <c r="O236" i="4"/>
  <c r="AB236" i="4" s="1"/>
  <c r="G236" i="4"/>
  <c r="D236" i="4"/>
  <c r="E236" i="4" s="1"/>
  <c r="AF235" i="4"/>
  <c r="AE235" i="4"/>
  <c r="AD235" i="4"/>
  <c r="AC235" i="4"/>
  <c r="O235" i="4"/>
  <c r="AB235" i="4" s="1"/>
  <c r="G235" i="4"/>
  <c r="D235" i="4"/>
  <c r="E235" i="4" s="1"/>
  <c r="AF234" i="4"/>
  <c r="AE234" i="4"/>
  <c r="AD234" i="4"/>
  <c r="AC234" i="4"/>
  <c r="O234" i="4"/>
  <c r="AB234" i="4" s="1"/>
  <c r="G234" i="4"/>
  <c r="D234" i="4"/>
  <c r="E234" i="4" s="1"/>
  <c r="AF233" i="4"/>
  <c r="AE233" i="4"/>
  <c r="AD233" i="4"/>
  <c r="AC233" i="4"/>
  <c r="O233" i="4"/>
  <c r="AB233" i="4" s="1"/>
  <c r="G233" i="4"/>
  <c r="D233" i="4"/>
  <c r="E233" i="4" s="1"/>
  <c r="AF232" i="4"/>
  <c r="AE232" i="4"/>
  <c r="AD232" i="4"/>
  <c r="AC232" i="4"/>
  <c r="O232" i="4"/>
  <c r="AB232" i="4" s="1"/>
  <c r="G232" i="4"/>
  <c r="D232" i="4"/>
  <c r="E232" i="4" s="1"/>
  <c r="AF231" i="4"/>
  <c r="AE231" i="4"/>
  <c r="AD231" i="4"/>
  <c r="AC231" i="4"/>
  <c r="O231" i="4"/>
  <c r="AB231" i="4" s="1"/>
  <c r="G231" i="4"/>
  <c r="D231" i="4"/>
  <c r="E231" i="4" s="1"/>
  <c r="AA231" i="4" s="1"/>
  <c r="AF230" i="4"/>
  <c r="AE230" i="4"/>
  <c r="AD230" i="4"/>
  <c r="AC230" i="4"/>
  <c r="O230" i="4"/>
  <c r="AB230" i="4" s="1"/>
  <c r="G230" i="4"/>
  <c r="D230" i="4"/>
  <c r="E230" i="4" s="1"/>
  <c r="AF229" i="4"/>
  <c r="AE229" i="4"/>
  <c r="AD229" i="4"/>
  <c r="AC229" i="4"/>
  <c r="O229" i="4"/>
  <c r="AB229" i="4" s="1"/>
  <c r="G229" i="4"/>
  <c r="D229" i="4"/>
  <c r="E229" i="4" s="1"/>
  <c r="AF228" i="4"/>
  <c r="AE228" i="4"/>
  <c r="AD228" i="4"/>
  <c r="AC228" i="4"/>
  <c r="O228" i="4"/>
  <c r="AB228" i="4" s="1"/>
  <c r="G228" i="4"/>
  <c r="D228" i="4"/>
  <c r="E228" i="4" s="1"/>
  <c r="AF227" i="4"/>
  <c r="AE227" i="4"/>
  <c r="AD227" i="4"/>
  <c r="AC227" i="4"/>
  <c r="O227" i="4"/>
  <c r="AB227" i="4" s="1"/>
  <c r="G227" i="4"/>
  <c r="D227" i="4"/>
  <c r="E227" i="4" s="1"/>
  <c r="AF226" i="4"/>
  <c r="AE226" i="4"/>
  <c r="AD226" i="4"/>
  <c r="AC226" i="4"/>
  <c r="O226" i="4"/>
  <c r="AB226" i="4" s="1"/>
  <c r="G226" i="4"/>
  <c r="D226" i="4"/>
  <c r="E226" i="4" s="1"/>
  <c r="AF225" i="4"/>
  <c r="AE225" i="4"/>
  <c r="AD225" i="4"/>
  <c r="AC225" i="4"/>
  <c r="O225" i="4"/>
  <c r="AB225" i="4" s="1"/>
  <c r="G225" i="4"/>
  <c r="D225" i="4"/>
  <c r="E225" i="4" s="1"/>
  <c r="AF224" i="4"/>
  <c r="AE224" i="4"/>
  <c r="AD224" i="4"/>
  <c r="AC224" i="4"/>
  <c r="O224" i="4"/>
  <c r="AB224" i="4" s="1"/>
  <c r="G224" i="4"/>
  <c r="D224" i="4"/>
  <c r="E224" i="4" s="1"/>
  <c r="AA224" i="4" s="1"/>
  <c r="AF223" i="4"/>
  <c r="AE223" i="4"/>
  <c r="AD223" i="4"/>
  <c r="AC223" i="4"/>
  <c r="O223" i="4"/>
  <c r="AB223" i="4" s="1"/>
  <c r="G223" i="4"/>
  <c r="D223" i="4"/>
  <c r="E223" i="4" s="1"/>
  <c r="AF222" i="4"/>
  <c r="AE222" i="4"/>
  <c r="AD222" i="4"/>
  <c r="AC222" i="4"/>
  <c r="O222" i="4"/>
  <c r="AB222" i="4" s="1"/>
  <c r="G222" i="4"/>
  <c r="D222" i="4"/>
  <c r="E222" i="4" s="1"/>
  <c r="AF221" i="4"/>
  <c r="AE221" i="4"/>
  <c r="AD221" i="4"/>
  <c r="AC221" i="4"/>
  <c r="O221" i="4"/>
  <c r="AB221" i="4" s="1"/>
  <c r="G221" i="4"/>
  <c r="D221" i="4"/>
  <c r="E221" i="4" s="1"/>
  <c r="AF220" i="4"/>
  <c r="AE220" i="4"/>
  <c r="AD220" i="4"/>
  <c r="AC220" i="4"/>
  <c r="O220" i="4"/>
  <c r="AB220" i="4" s="1"/>
  <c r="G220" i="4"/>
  <c r="D220" i="4"/>
  <c r="E220" i="4" s="1"/>
  <c r="AF219" i="4"/>
  <c r="AE219" i="4"/>
  <c r="AD219" i="4"/>
  <c r="AC219" i="4"/>
  <c r="O219" i="4"/>
  <c r="AB219" i="4" s="1"/>
  <c r="G219" i="4"/>
  <c r="D219" i="4"/>
  <c r="E219" i="4" s="1"/>
  <c r="AF218" i="4"/>
  <c r="AE218" i="4"/>
  <c r="AD218" i="4"/>
  <c r="AC218" i="4"/>
  <c r="O218" i="4"/>
  <c r="AB218" i="4" s="1"/>
  <c r="G218" i="4"/>
  <c r="D218" i="4"/>
  <c r="E218" i="4" s="1"/>
  <c r="AF217" i="4"/>
  <c r="AE217" i="4"/>
  <c r="AD217" i="4"/>
  <c r="AC217" i="4"/>
  <c r="O217" i="4"/>
  <c r="AB217" i="4" s="1"/>
  <c r="G217" i="4"/>
  <c r="D217" i="4"/>
  <c r="E217" i="4" s="1"/>
  <c r="AF216" i="4"/>
  <c r="AE216" i="4"/>
  <c r="AD216" i="4"/>
  <c r="AC216" i="4"/>
  <c r="O216" i="4"/>
  <c r="AB216" i="4" s="1"/>
  <c r="G216" i="4"/>
  <c r="D216" i="4"/>
  <c r="E216" i="4" s="1"/>
  <c r="AF215" i="4"/>
  <c r="AE215" i="4"/>
  <c r="AD215" i="4"/>
  <c r="AC215" i="4"/>
  <c r="O215" i="4"/>
  <c r="AB215" i="4" s="1"/>
  <c r="G215" i="4"/>
  <c r="D215" i="4"/>
  <c r="E215" i="4" s="1"/>
  <c r="AF214" i="4"/>
  <c r="AE214" i="4"/>
  <c r="AD214" i="4"/>
  <c r="AC214" i="4"/>
  <c r="O214" i="4"/>
  <c r="AB214" i="4" s="1"/>
  <c r="G214" i="4"/>
  <c r="D214" i="4"/>
  <c r="E214" i="4" s="1"/>
  <c r="AF213" i="4"/>
  <c r="AE213" i="4"/>
  <c r="AD213" i="4"/>
  <c r="AC213" i="4"/>
  <c r="O213" i="4"/>
  <c r="AB213" i="4" s="1"/>
  <c r="G213" i="4"/>
  <c r="D213" i="4"/>
  <c r="E213" i="4" s="1"/>
  <c r="AF212" i="4"/>
  <c r="AE212" i="4"/>
  <c r="AD212" i="4"/>
  <c r="AC212" i="4"/>
  <c r="O212" i="4"/>
  <c r="AB212" i="4" s="1"/>
  <c r="G212" i="4"/>
  <c r="D212" i="4"/>
  <c r="E212" i="4" s="1"/>
  <c r="AF211" i="4"/>
  <c r="AE211" i="4"/>
  <c r="AD211" i="4"/>
  <c r="AC211" i="4"/>
  <c r="O211" i="4"/>
  <c r="AB211" i="4" s="1"/>
  <c r="G211" i="4"/>
  <c r="D211" i="4"/>
  <c r="E211" i="4" s="1"/>
  <c r="AF210" i="4"/>
  <c r="AE210" i="4"/>
  <c r="AD210" i="4"/>
  <c r="AC210" i="4"/>
  <c r="O210" i="4"/>
  <c r="AB210" i="4" s="1"/>
  <c r="G210" i="4"/>
  <c r="D210" i="4"/>
  <c r="E210" i="4" s="1"/>
  <c r="AF209" i="4"/>
  <c r="AE209" i="4"/>
  <c r="AD209" i="4"/>
  <c r="AC209" i="4"/>
  <c r="O209" i="4"/>
  <c r="AB209" i="4" s="1"/>
  <c r="G209" i="4"/>
  <c r="D209" i="4"/>
  <c r="E209" i="4" s="1"/>
  <c r="AF208" i="4"/>
  <c r="AE208" i="4"/>
  <c r="AD208" i="4"/>
  <c r="AC208" i="4"/>
  <c r="O208" i="4"/>
  <c r="AB208" i="4" s="1"/>
  <c r="G208" i="4"/>
  <c r="D208" i="4"/>
  <c r="E208" i="4" s="1"/>
  <c r="AF207" i="4"/>
  <c r="AE207" i="4"/>
  <c r="AD207" i="4"/>
  <c r="AC207" i="4"/>
  <c r="O207" i="4"/>
  <c r="AB207" i="4" s="1"/>
  <c r="G207" i="4"/>
  <c r="D207" i="4"/>
  <c r="E207" i="4" s="1"/>
  <c r="AF206" i="4"/>
  <c r="AE206" i="4"/>
  <c r="AD206" i="4"/>
  <c r="AC206" i="4"/>
  <c r="O206" i="4"/>
  <c r="AB206" i="4" s="1"/>
  <c r="G206" i="4"/>
  <c r="D206" i="4"/>
  <c r="E206" i="4" s="1"/>
  <c r="AF205" i="4"/>
  <c r="AE205" i="4"/>
  <c r="AD205" i="4"/>
  <c r="AC205" i="4"/>
  <c r="O205" i="4"/>
  <c r="AB205" i="4" s="1"/>
  <c r="G205" i="4"/>
  <c r="D205" i="4"/>
  <c r="E205" i="4" s="1"/>
  <c r="AF204" i="4"/>
  <c r="AE204" i="4"/>
  <c r="AD204" i="4"/>
  <c r="AC204" i="4"/>
  <c r="O204" i="4"/>
  <c r="AB204" i="4" s="1"/>
  <c r="G204" i="4"/>
  <c r="D204" i="4"/>
  <c r="E204" i="4" s="1"/>
  <c r="AF203" i="4"/>
  <c r="AE203" i="4"/>
  <c r="AD203" i="4"/>
  <c r="AC203" i="4"/>
  <c r="O203" i="4"/>
  <c r="AB203" i="4" s="1"/>
  <c r="G203" i="4"/>
  <c r="D203" i="4"/>
  <c r="E203" i="4" s="1"/>
  <c r="AF202" i="4"/>
  <c r="AE202" i="4"/>
  <c r="AD202" i="4"/>
  <c r="AC202" i="4"/>
  <c r="O202" i="4"/>
  <c r="AB202" i="4" s="1"/>
  <c r="G202" i="4"/>
  <c r="D202" i="4"/>
  <c r="E202" i="4" s="1"/>
  <c r="AF201" i="4"/>
  <c r="AE201" i="4"/>
  <c r="AD201" i="4"/>
  <c r="AC201" i="4"/>
  <c r="O201" i="4"/>
  <c r="AB201" i="4" s="1"/>
  <c r="G201" i="4"/>
  <c r="D201" i="4"/>
  <c r="E201" i="4" s="1"/>
  <c r="AF200" i="4"/>
  <c r="AE200" i="4"/>
  <c r="AD200" i="4"/>
  <c r="AC200" i="4"/>
  <c r="O200" i="4"/>
  <c r="AB200" i="4" s="1"/>
  <c r="G200" i="4"/>
  <c r="D200" i="4"/>
  <c r="E200" i="4" s="1"/>
  <c r="AF199" i="4"/>
  <c r="AE199" i="4"/>
  <c r="AD199" i="4"/>
  <c r="AC199" i="4"/>
  <c r="O199" i="4"/>
  <c r="AB199" i="4" s="1"/>
  <c r="G199" i="4"/>
  <c r="D199" i="4"/>
  <c r="E199" i="4" s="1"/>
  <c r="AF198" i="4"/>
  <c r="AE198" i="4"/>
  <c r="AD198" i="4"/>
  <c r="AC198" i="4"/>
  <c r="O198" i="4"/>
  <c r="AB198" i="4" s="1"/>
  <c r="G198" i="4"/>
  <c r="D198" i="4"/>
  <c r="E198" i="4" s="1"/>
  <c r="AF197" i="4"/>
  <c r="AE197" i="4"/>
  <c r="AD197" i="4"/>
  <c r="AC197" i="4"/>
  <c r="O197" i="4"/>
  <c r="AB197" i="4" s="1"/>
  <c r="G197" i="4"/>
  <c r="D197" i="4"/>
  <c r="E197" i="4" s="1"/>
  <c r="AF196" i="4"/>
  <c r="AE196" i="4"/>
  <c r="AD196" i="4"/>
  <c r="AC196" i="4"/>
  <c r="O196" i="4"/>
  <c r="AB196" i="4" s="1"/>
  <c r="G196" i="4"/>
  <c r="D196" i="4"/>
  <c r="E196" i="4" s="1"/>
  <c r="AF195" i="4"/>
  <c r="AE195" i="4"/>
  <c r="AD195" i="4"/>
  <c r="AC195" i="4"/>
  <c r="O195" i="4"/>
  <c r="AB195" i="4" s="1"/>
  <c r="G195" i="4"/>
  <c r="D195" i="4"/>
  <c r="E195" i="4" s="1"/>
  <c r="AF194" i="4"/>
  <c r="AE194" i="4"/>
  <c r="AD194" i="4"/>
  <c r="AC194" i="4"/>
  <c r="O194" i="4"/>
  <c r="AB194" i="4" s="1"/>
  <c r="G194" i="4"/>
  <c r="D194" i="4"/>
  <c r="E194" i="4" s="1"/>
  <c r="AF193" i="4"/>
  <c r="AE193" i="4"/>
  <c r="AD193" i="4"/>
  <c r="AC193" i="4"/>
  <c r="O193" i="4"/>
  <c r="AB193" i="4" s="1"/>
  <c r="G193" i="4"/>
  <c r="D193" i="4"/>
  <c r="E193" i="4" s="1"/>
  <c r="AF192" i="4"/>
  <c r="AE192" i="4"/>
  <c r="AD192" i="4"/>
  <c r="AC192" i="4"/>
  <c r="O192" i="4"/>
  <c r="AB192" i="4" s="1"/>
  <c r="G192" i="4"/>
  <c r="D192" i="4"/>
  <c r="E192" i="4" s="1"/>
  <c r="AF191" i="4"/>
  <c r="AE191" i="4"/>
  <c r="AD191" i="4"/>
  <c r="AC191" i="4"/>
  <c r="O191" i="4"/>
  <c r="AB191" i="4" s="1"/>
  <c r="G191" i="4"/>
  <c r="D191" i="4"/>
  <c r="E191" i="4" s="1"/>
  <c r="AF190" i="4"/>
  <c r="AE190" i="4"/>
  <c r="AD190" i="4"/>
  <c r="AC190" i="4"/>
  <c r="O190" i="4"/>
  <c r="AB190" i="4" s="1"/>
  <c r="G190" i="4"/>
  <c r="D190" i="4"/>
  <c r="E190" i="4" s="1"/>
  <c r="AF189" i="4"/>
  <c r="AE189" i="4"/>
  <c r="AD189" i="4"/>
  <c r="AC189" i="4"/>
  <c r="O189" i="4"/>
  <c r="AB189" i="4" s="1"/>
  <c r="G189" i="4"/>
  <c r="D189" i="4"/>
  <c r="E189" i="4" s="1"/>
  <c r="AA189" i="4" s="1"/>
  <c r="AF188" i="4"/>
  <c r="AE188" i="4"/>
  <c r="AD188" i="4"/>
  <c r="AC188" i="4"/>
  <c r="O188" i="4"/>
  <c r="AB188" i="4" s="1"/>
  <c r="G188" i="4"/>
  <c r="D188" i="4"/>
  <c r="E188" i="4" s="1"/>
  <c r="AF187" i="4"/>
  <c r="AE187" i="4"/>
  <c r="AD187" i="4"/>
  <c r="AC187" i="4"/>
  <c r="AB187" i="4"/>
  <c r="O187" i="4"/>
  <c r="G187" i="4"/>
  <c r="D187" i="4"/>
  <c r="E187" i="4" s="1"/>
  <c r="AF186" i="4"/>
  <c r="AE186" i="4"/>
  <c r="AD186" i="4"/>
  <c r="AC186" i="4"/>
  <c r="O186" i="4"/>
  <c r="AB186" i="4" s="1"/>
  <c r="G186" i="4"/>
  <c r="D186" i="4"/>
  <c r="E186" i="4" s="1"/>
  <c r="AF185" i="4"/>
  <c r="AE185" i="4"/>
  <c r="AD185" i="4"/>
  <c r="AC185" i="4"/>
  <c r="O185" i="4"/>
  <c r="AB185" i="4" s="1"/>
  <c r="G185" i="4"/>
  <c r="D185" i="4"/>
  <c r="E185" i="4" s="1"/>
  <c r="AF184" i="4"/>
  <c r="AE184" i="4"/>
  <c r="AD184" i="4"/>
  <c r="AC184" i="4"/>
  <c r="O184" i="4"/>
  <c r="AB184" i="4" s="1"/>
  <c r="G184" i="4"/>
  <c r="D184" i="4"/>
  <c r="E184" i="4" s="1"/>
  <c r="AF183" i="4"/>
  <c r="AE183" i="4"/>
  <c r="AD183" i="4"/>
  <c r="AC183" i="4"/>
  <c r="O183" i="4"/>
  <c r="AB183" i="4" s="1"/>
  <c r="G183" i="4"/>
  <c r="D183" i="4"/>
  <c r="E183" i="4" s="1"/>
  <c r="AF182" i="4"/>
  <c r="AE182" i="4"/>
  <c r="AD182" i="4"/>
  <c r="AC182" i="4"/>
  <c r="O182" i="4"/>
  <c r="AB182" i="4" s="1"/>
  <c r="G182" i="4"/>
  <c r="D182" i="4"/>
  <c r="E182" i="4" s="1"/>
  <c r="AF181" i="4"/>
  <c r="AE181" i="4"/>
  <c r="AD181" i="4"/>
  <c r="AC181" i="4"/>
  <c r="O181" i="4"/>
  <c r="AB181" i="4" s="1"/>
  <c r="G181" i="4"/>
  <c r="D181" i="4"/>
  <c r="E181" i="4" s="1"/>
  <c r="AF180" i="4"/>
  <c r="AE180" i="4"/>
  <c r="AD180" i="4"/>
  <c r="AC180" i="4"/>
  <c r="O180" i="4"/>
  <c r="AB180" i="4" s="1"/>
  <c r="G180" i="4"/>
  <c r="D180" i="4"/>
  <c r="E180" i="4" s="1"/>
  <c r="AF179" i="4"/>
  <c r="AE179" i="4"/>
  <c r="AD179" i="4"/>
  <c r="AC179" i="4"/>
  <c r="AB179" i="4"/>
  <c r="O179" i="4"/>
  <c r="G179" i="4"/>
  <c r="D179" i="4"/>
  <c r="E179" i="4" s="1"/>
  <c r="AF178" i="4"/>
  <c r="AE178" i="4"/>
  <c r="AD178" i="4"/>
  <c r="AC178" i="4"/>
  <c r="O178" i="4"/>
  <c r="AB178" i="4" s="1"/>
  <c r="G178" i="4"/>
  <c r="D178" i="4"/>
  <c r="E178" i="4" s="1"/>
  <c r="AF177" i="4"/>
  <c r="AE177" i="4"/>
  <c r="AD177" i="4"/>
  <c r="AC177" i="4"/>
  <c r="O177" i="4"/>
  <c r="AB177" i="4" s="1"/>
  <c r="G177" i="4"/>
  <c r="D177" i="4"/>
  <c r="E177" i="4" s="1"/>
  <c r="AF176" i="4"/>
  <c r="AE176" i="4"/>
  <c r="AD176" i="4"/>
  <c r="AC176" i="4"/>
  <c r="O176" i="4"/>
  <c r="AB176" i="4" s="1"/>
  <c r="G176" i="4"/>
  <c r="D176" i="4"/>
  <c r="E176" i="4" s="1"/>
  <c r="AF175" i="4"/>
  <c r="AE175" i="4"/>
  <c r="AD175" i="4"/>
  <c r="AC175" i="4"/>
  <c r="AB175" i="4"/>
  <c r="O175" i="4"/>
  <c r="G175" i="4"/>
  <c r="D175" i="4"/>
  <c r="E175" i="4" s="1"/>
  <c r="AA175" i="4" s="1"/>
  <c r="AF174" i="4"/>
  <c r="AE174" i="4"/>
  <c r="AD174" i="4"/>
  <c r="AC174" i="4"/>
  <c r="O174" i="4"/>
  <c r="AB174" i="4" s="1"/>
  <c r="G174" i="4"/>
  <c r="D174" i="4"/>
  <c r="E174" i="4" s="1"/>
  <c r="AF173" i="4"/>
  <c r="AE173" i="4"/>
  <c r="AD173" i="4"/>
  <c r="AC173" i="4"/>
  <c r="O173" i="4"/>
  <c r="AB173" i="4" s="1"/>
  <c r="G173" i="4"/>
  <c r="D173" i="4"/>
  <c r="E173" i="4" s="1"/>
  <c r="AF172" i="4"/>
  <c r="AE172" i="4"/>
  <c r="AD172" i="4"/>
  <c r="AC172" i="4"/>
  <c r="O172" i="4"/>
  <c r="AB172" i="4" s="1"/>
  <c r="G172" i="4"/>
  <c r="D172" i="4"/>
  <c r="E172" i="4" s="1"/>
  <c r="AF171" i="4"/>
  <c r="AE171" i="4"/>
  <c r="AD171" i="4"/>
  <c r="AC171" i="4"/>
  <c r="O171" i="4"/>
  <c r="AB171" i="4" s="1"/>
  <c r="G171" i="4"/>
  <c r="D171" i="4"/>
  <c r="E171" i="4" s="1"/>
  <c r="AF170" i="4"/>
  <c r="AE170" i="4"/>
  <c r="AD170" i="4"/>
  <c r="AC170" i="4"/>
  <c r="O170" i="4"/>
  <c r="AB170" i="4" s="1"/>
  <c r="G170" i="4"/>
  <c r="D170" i="4"/>
  <c r="E170" i="4" s="1"/>
  <c r="AF169" i="4"/>
  <c r="AE169" i="4"/>
  <c r="AD169" i="4"/>
  <c r="AC169" i="4"/>
  <c r="O169" i="4"/>
  <c r="AB169" i="4" s="1"/>
  <c r="G169" i="4"/>
  <c r="D169" i="4"/>
  <c r="E169" i="4" s="1"/>
  <c r="AF168" i="4"/>
  <c r="AE168" i="4"/>
  <c r="AD168" i="4"/>
  <c r="AC168" i="4"/>
  <c r="O168" i="4"/>
  <c r="AB168" i="4" s="1"/>
  <c r="G168" i="4"/>
  <c r="D168" i="4"/>
  <c r="E168" i="4" s="1"/>
  <c r="AF167" i="4"/>
  <c r="AE167" i="4"/>
  <c r="AD167" i="4"/>
  <c r="AC167" i="4"/>
  <c r="O167" i="4"/>
  <c r="AB167" i="4" s="1"/>
  <c r="G167" i="4"/>
  <c r="D167" i="4"/>
  <c r="E167" i="4" s="1"/>
  <c r="AF166" i="4"/>
  <c r="AE166" i="4"/>
  <c r="AD166" i="4"/>
  <c r="AC166" i="4"/>
  <c r="O166" i="4"/>
  <c r="AB166" i="4" s="1"/>
  <c r="G166" i="4"/>
  <c r="D166" i="4"/>
  <c r="E166" i="4" s="1"/>
  <c r="AF165" i="4"/>
  <c r="AE165" i="4"/>
  <c r="AD165" i="4"/>
  <c r="AC165" i="4"/>
  <c r="O165" i="4"/>
  <c r="AB165" i="4" s="1"/>
  <c r="G165" i="4"/>
  <c r="D165" i="4"/>
  <c r="E165" i="4" s="1"/>
  <c r="AF164" i="4"/>
  <c r="AE164" i="4"/>
  <c r="AD164" i="4"/>
  <c r="AC164" i="4"/>
  <c r="O164" i="4"/>
  <c r="AB164" i="4" s="1"/>
  <c r="G164" i="4"/>
  <c r="D164" i="4"/>
  <c r="E164" i="4" s="1"/>
  <c r="AF163" i="4"/>
  <c r="AE163" i="4"/>
  <c r="AD163" i="4"/>
  <c r="AC163" i="4"/>
  <c r="O163" i="4"/>
  <c r="AB163" i="4" s="1"/>
  <c r="G163" i="4"/>
  <c r="D163" i="4"/>
  <c r="E163" i="4" s="1"/>
  <c r="AF162" i="4"/>
  <c r="AE162" i="4"/>
  <c r="AD162" i="4"/>
  <c r="AC162" i="4"/>
  <c r="O162" i="4"/>
  <c r="AB162" i="4" s="1"/>
  <c r="G162" i="4"/>
  <c r="D162" i="4"/>
  <c r="E162" i="4" s="1"/>
  <c r="AF161" i="4"/>
  <c r="AE161" i="4"/>
  <c r="AD161" i="4"/>
  <c r="AC161" i="4"/>
  <c r="O161" i="4"/>
  <c r="AB161" i="4" s="1"/>
  <c r="G161" i="4"/>
  <c r="D161" i="4"/>
  <c r="E161" i="4" s="1"/>
  <c r="AF160" i="4"/>
  <c r="AE160" i="4"/>
  <c r="AD160" i="4"/>
  <c r="AC160" i="4"/>
  <c r="O160" i="4"/>
  <c r="AB160" i="4" s="1"/>
  <c r="G160" i="4"/>
  <c r="D160" i="4"/>
  <c r="E160" i="4" s="1"/>
  <c r="AF159" i="4"/>
  <c r="AE159" i="4"/>
  <c r="AD159" i="4"/>
  <c r="AC159" i="4"/>
  <c r="O159" i="4"/>
  <c r="AB159" i="4" s="1"/>
  <c r="G159" i="4"/>
  <c r="D159" i="4"/>
  <c r="E159" i="4" s="1"/>
  <c r="AF158" i="4"/>
  <c r="AE158" i="4"/>
  <c r="AD158" i="4"/>
  <c r="AC158" i="4"/>
  <c r="O158" i="4"/>
  <c r="AB158" i="4" s="1"/>
  <c r="G158" i="4"/>
  <c r="D158" i="4"/>
  <c r="E158" i="4" s="1"/>
  <c r="AF157" i="4"/>
  <c r="AE157" i="4"/>
  <c r="AD157" i="4"/>
  <c r="AC157" i="4"/>
  <c r="O157" i="4"/>
  <c r="AB157" i="4" s="1"/>
  <c r="G157" i="4"/>
  <c r="D157" i="4"/>
  <c r="E157" i="4" s="1"/>
  <c r="AF156" i="4"/>
  <c r="AE156" i="4"/>
  <c r="AD156" i="4"/>
  <c r="AC156" i="4"/>
  <c r="O156" i="4"/>
  <c r="AB156" i="4" s="1"/>
  <c r="G156" i="4"/>
  <c r="D156" i="4"/>
  <c r="E156" i="4" s="1"/>
  <c r="AF155" i="4"/>
  <c r="AE155" i="4"/>
  <c r="AD155" i="4"/>
  <c r="AC155" i="4"/>
  <c r="O155" i="4"/>
  <c r="AB155" i="4" s="1"/>
  <c r="G155" i="4"/>
  <c r="D155" i="4"/>
  <c r="E155" i="4" s="1"/>
  <c r="AF154" i="4"/>
  <c r="AE154" i="4"/>
  <c r="AD154" i="4"/>
  <c r="AC154" i="4"/>
  <c r="O154" i="4"/>
  <c r="AB154" i="4" s="1"/>
  <c r="G154" i="4"/>
  <c r="D154" i="4"/>
  <c r="E154" i="4" s="1"/>
  <c r="AF153" i="4"/>
  <c r="AE153" i="4"/>
  <c r="AD153" i="4"/>
  <c r="AC153" i="4"/>
  <c r="O153" i="4"/>
  <c r="AB153" i="4" s="1"/>
  <c r="G153" i="4"/>
  <c r="D153" i="4"/>
  <c r="E153" i="4" s="1"/>
  <c r="AF152" i="4"/>
  <c r="AE152" i="4"/>
  <c r="AD152" i="4"/>
  <c r="AC152" i="4"/>
  <c r="O152" i="4"/>
  <c r="AB152" i="4" s="1"/>
  <c r="G152" i="4"/>
  <c r="D152" i="4"/>
  <c r="E152" i="4" s="1"/>
  <c r="AF151" i="4"/>
  <c r="AE151" i="4"/>
  <c r="AD151" i="4"/>
  <c r="AC151" i="4"/>
  <c r="O151" i="4"/>
  <c r="AB151" i="4" s="1"/>
  <c r="G151" i="4"/>
  <c r="D151" i="4"/>
  <c r="E151" i="4" s="1"/>
  <c r="AF150" i="4"/>
  <c r="AE150" i="4"/>
  <c r="AD150" i="4"/>
  <c r="AC150" i="4"/>
  <c r="O150" i="4"/>
  <c r="AB150" i="4" s="1"/>
  <c r="G150" i="4"/>
  <c r="D150" i="4"/>
  <c r="E150" i="4" s="1"/>
  <c r="AF149" i="4"/>
  <c r="AE149" i="4"/>
  <c r="AD149" i="4"/>
  <c r="AC149" i="4"/>
  <c r="O149" i="4"/>
  <c r="AB149" i="4" s="1"/>
  <c r="G149" i="4"/>
  <c r="D149" i="4"/>
  <c r="E149" i="4" s="1"/>
  <c r="AF148" i="4"/>
  <c r="AE148" i="4"/>
  <c r="AD148" i="4"/>
  <c r="AC148" i="4"/>
  <c r="O148" i="4"/>
  <c r="AB148" i="4" s="1"/>
  <c r="G148" i="4"/>
  <c r="D148" i="4"/>
  <c r="E148" i="4" s="1"/>
  <c r="AF147" i="4"/>
  <c r="AE147" i="4"/>
  <c r="AD147" i="4"/>
  <c r="AC147" i="4"/>
  <c r="O147" i="4"/>
  <c r="AB147" i="4" s="1"/>
  <c r="G147" i="4"/>
  <c r="D147" i="4"/>
  <c r="E147" i="4" s="1"/>
  <c r="AF146" i="4"/>
  <c r="AE146" i="4"/>
  <c r="AD146" i="4"/>
  <c r="AC146" i="4"/>
  <c r="O146" i="4"/>
  <c r="AB146" i="4" s="1"/>
  <c r="G146" i="4"/>
  <c r="D146" i="4"/>
  <c r="E146" i="4" s="1"/>
  <c r="AF145" i="4"/>
  <c r="AE145" i="4"/>
  <c r="AD145" i="4"/>
  <c r="AC145" i="4"/>
  <c r="O145" i="4"/>
  <c r="AB145" i="4" s="1"/>
  <c r="G145" i="4"/>
  <c r="D145" i="4"/>
  <c r="E145" i="4" s="1"/>
  <c r="AF144" i="4"/>
  <c r="AE144" i="4"/>
  <c r="AD144" i="4"/>
  <c r="AC144" i="4"/>
  <c r="O144" i="4"/>
  <c r="AB144" i="4" s="1"/>
  <c r="G144" i="4"/>
  <c r="D144" i="4"/>
  <c r="E144" i="4" s="1"/>
  <c r="AF143" i="4"/>
  <c r="AE143" i="4"/>
  <c r="AD143" i="4"/>
  <c r="AC143" i="4"/>
  <c r="O143" i="4"/>
  <c r="AB143" i="4" s="1"/>
  <c r="G143" i="4"/>
  <c r="D143" i="4"/>
  <c r="E143" i="4" s="1"/>
  <c r="AF142" i="4"/>
  <c r="AE142" i="4"/>
  <c r="AD142" i="4"/>
  <c r="AC142" i="4"/>
  <c r="O142" i="4"/>
  <c r="AB142" i="4" s="1"/>
  <c r="G142" i="4"/>
  <c r="D142" i="4"/>
  <c r="E142" i="4" s="1"/>
  <c r="AF141" i="4"/>
  <c r="AE141" i="4"/>
  <c r="AD141" i="4"/>
  <c r="AC141" i="4"/>
  <c r="O141" i="4"/>
  <c r="AB141" i="4" s="1"/>
  <c r="G141" i="4"/>
  <c r="D141" i="4"/>
  <c r="E141" i="4" s="1"/>
  <c r="AF140" i="4"/>
  <c r="AE140" i="4"/>
  <c r="AD140" i="4"/>
  <c r="AC140" i="4"/>
  <c r="O140" i="4"/>
  <c r="AB140" i="4" s="1"/>
  <c r="G140" i="4"/>
  <c r="D140" i="4"/>
  <c r="E140" i="4" s="1"/>
  <c r="AF139" i="4"/>
  <c r="AE139" i="4"/>
  <c r="AD139" i="4"/>
  <c r="AC139" i="4"/>
  <c r="O139" i="4"/>
  <c r="AB139" i="4" s="1"/>
  <c r="G139" i="4"/>
  <c r="D139" i="4"/>
  <c r="E139" i="4" s="1"/>
  <c r="AF138" i="4"/>
  <c r="AE138" i="4"/>
  <c r="AD138" i="4"/>
  <c r="AC138" i="4"/>
  <c r="O138" i="4"/>
  <c r="AB138" i="4" s="1"/>
  <c r="G138" i="4"/>
  <c r="D138" i="4"/>
  <c r="E138" i="4" s="1"/>
  <c r="AF137" i="4"/>
  <c r="AE137" i="4"/>
  <c r="AD137" i="4"/>
  <c r="AC137" i="4"/>
  <c r="O137" i="4"/>
  <c r="AB137" i="4" s="1"/>
  <c r="G137" i="4"/>
  <c r="D137" i="4"/>
  <c r="E137" i="4" s="1"/>
  <c r="AF136" i="4"/>
  <c r="AE136" i="4"/>
  <c r="AD136" i="4"/>
  <c r="AC136" i="4"/>
  <c r="O136" i="4"/>
  <c r="AB136" i="4" s="1"/>
  <c r="G136" i="4"/>
  <c r="D136" i="4"/>
  <c r="E136" i="4" s="1"/>
  <c r="AF135" i="4"/>
  <c r="AE135" i="4"/>
  <c r="AD135" i="4"/>
  <c r="AC135" i="4"/>
  <c r="O135" i="4"/>
  <c r="AB135" i="4" s="1"/>
  <c r="G135" i="4"/>
  <c r="D135" i="4"/>
  <c r="E135" i="4" s="1"/>
  <c r="AF134" i="4"/>
  <c r="AE134" i="4"/>
  <c r="AD134" i="4"/>
  <c r="AC134" i="4"/>
  <c r="O134" i="4"/>
  <c r="AB134" i="4" s="1"/>
  <c r="G134" i="4"/>
  <c r="D134" i="4"/>
  <c r="E134" i="4" s="1"/>
  <c r="AF133" i="4"/>
  <c r="AE133" i="4"/>
  <c r="AD133" i="4"/>
  <c r="AC133" i="4"/>
  <c r="O133" i="4"/>
  <c r="AB133" i="4" s="1"/>
  <c r="G133" i="4"/>
  <c r="D133" i="4"/>
  <c r="E133" i="4" s="1"/>
  <c r="AF132" i="4"/>
  <c r="AE132" i="4"/>
  <c r="AD132" i="4"/>
  <c r="AC132" i="4"/>
  <c r="O132" i="4"/>
  <c r="AB132" i="4" s="1"/>
  <c r="G132" i="4"/>
  <c r="D132" i="4"/>
  <c r="E132" i="4" s="1"/>
  <c r="AF131" i="4"/>
  <c r="AE131" i="4"/>
  <c r="AD131" i="4"/>
  <c r="AC131" i="4"/>
  <c r="O131" i="4"/>
  <c r="AB131" i="4" s="1"/>
  <c r="G131" i="4"/>
  <c r="D131" i="4"/>
  <c r="E131" i="4" s="1"/>
  <c r="AF130" i="4"/>
  <c r="AE130" i="4"/>
  <c r="AD130" i="4"/>
  <c r="AC130" i="4"/>
  <c r="O130" i="4"/>
  <c r="AB130" i="4" s="1"/>
  <c r="G130" i="4"/>
  <c r="D130" i="4"/>
  <c r="E130" i="4" s="1"/>
  <c r="AF129" i="4"/>
  <c r="AE129" i="4"/>
  <c r="AD129" i="4"/>
  <c r="AC129" i="4"/>
  <c r="O129" i="4"/>
  <c r="AB129" i="4" s="1"/>
  <c r="G129" i="4"/>
  <c r="D129" i="4"/>
  <c r="E129" i="4" s="1"/>
  <c r="AA129" i="4" s="1"/>
  <c r="AF128" i="4"/>
  <c r="AE128" i="4"/>
  <c r="AD128" i="4"/>
  <c r="AC128" i="4"/>
  <c r="O128" i="4"/>
  <c r="AB128" i="4" s="1"/>
  <c r="G128" i="4"/>
  <c r="D128" i="4"/>
  <c r="E128" i="4" s="1"/>
  <c r="AF127" i="4"/>
  <c r="AE127" i="4"/>
  <c r="AD127" i="4"/>
  <c r="AC127" i="4"/>
  <c r="O127" i="4"/>
  <c r="AB127" i="4" s="1"/>
  <c r="G127" i="4"/>
  <c r="D127" i="4"/>
  <c r="E127" i="4" s="1"/>
  <c r="AF126" i="4"/>
  <c r="AE126" i="4"/>
  <c r="AD126" i="4"/>
  <c r="AC126" i="4"/>
  <c r="O126" i="4"/>
  <c r="AB126" i="4" s="1"/>
  <c r="G126" i="4"/>
  <c r="D126" i="4"/>
  <c r="E126" i="4" s="1"/>
  <c r="AF125" i="4"/>
  <c r="AE125" i="4"/>
  <c r="AD125" i="4"/>
  <c r="AC125" i="4"/>
  <c r="O125" i="4"/>
  <c r="AB125" i="4" s="1"/>
  <c r="G125" i="4"/>
  <c r="D125" i="4"/>
  <c r="E125" i="4" s="1"/>
  <c r="AF124" i="4"/>
  <c r="AE124" i="4"/>
  <c r="AD124" i="4"/>
  <c r="AC124" i="4"/>
  <c r="O124" i="4"/>
  <c r="AB124" i="4" s="1"/>
  <c r="G124" i="4"/>
  <c r="D124" i="4"/>
  <c r="E124" i="4" s="1"/>
  <c r="AF123" i="4"/>
  <c r="AE123" i="4"/>
  <c r="AD123" i="4"/>
  <c r="AC123" i="4"/>
  <c r="O123" i="4"/>
  <c r="AB123" i="4" s="1"/>
  <c r="G123" i="4"/>
  <c r="D123" i="4"/>
  <c r="E123" i="4" s="1"/>
  <c r="AF122" i="4"/>
  <c r="AE122" i="4"/>
  <c r="AD122" i="4"/>
  <c r="AC122" i="4"/>
  <c r="O122" i="4"/>
  <c r="AB122" i="4" s="1"/>
  <c r="G122" i="4"/>
  <c r="D122" i="4"/>
  <c r="E122" i="4" s="1"/>
  <c r="AF121" i="4"/>
  <c r="AE121" i="4"/>
  <c r="AD121" i="4"/>
  <c r="AC121" i="4"/>
  <c r="O121" i="4"/>
  <c r="AB121" i="4" s="1"/>
  <c r="G121" i="4"/>
  <c r="D121" i="4"/>
  <c r="E121" i="4" s="1"/>
  <c r="AF120" i="4"/>
  <c r="AE120" i="4"/>
  <c r="AD120" i="4"/>
  <c r="AC120" i="4"/>
  <c r="O120" i="4"/>
  <c r="AB120" i="4" s="1"/>
  <c r="G120" i="4"/>
  <c r="D120" i="4"/>
  <c r="E120" i="4" s="1"/>
  <c r="AF119" i="4"/>
  <c r="AE119" i="4"/>
  <c r="AD119" i="4"/>
  <c r="AC119" i="4"/>
  <c r="O119" i="4"/>
  <c r="AB119" i="4" s="1"/>
  <c r="G119" i="4"/>
  <c r="D119" i="4"/>
  <c r="E119" i="4" s="1"/>
  <c r="AF118" i="4"/>
  <c r="AE118" i="4"/>
  <c r="AD118" i="4"/>
  <c r="AC118" i="4"/>
  <c r="O118" i="4"/>
  <c r="AB118" i="4" s="1"/>
  <c r="G118" i="4"/>
  <c r="D118" i="4"/>
  <c r="E118" i="4" s="1"/>
  <c r="AF117" i="4"/>
  <c r="AE117" i="4"/>
  <c r="AD117" i="4"/>
  <c r="AC117" i="4"/>
  <c r="O117" i="4"/>
  <c r="AB117" i="4" s="1"/>
  <c r="G117" i="4"/>
  <c r="D117" i="4"/>
  <c r="E117" i="4" s="1"/>
  <c r="AF116" i="4"/>
  <c r="AE116" i="4"/>
  <c r="AD116" i="4"/>
  <c r="AC116" i="4"/>
  <c r="O116" i="4"/>
  <c r="AB116" i="4" s="1"/>
  <c r="G116" i="4"/>
  <c r="D116" i="4"/>
  <c r="E116" i="4" s="1"/>
  <c r="AF115" i="4"/>
  <c r="AE115" i="4"/>
  <c r="AD115" i="4"/>
  <c r="AC115" i="4"/>
  <c r="O115" i="4"/>
  <c r="AB115" i="4" s="1"/>
  <c r="G115" i="4"/>
  <c r="D115" i="4"/>
  <c r="E115" i="4" s="1"/>
  <c r="AF114" i="4"/>
  <c r="AE114" i="4"/>
  <c r="AD114" i="4"/>
  <c r="AC114" i="4"/>
  <c r="O114" i="4"/>
  <c r="AB114" i="4" s="1"/>
  <c r="G114" i="4"/>
  <c r="D114" i="4"/>
  <c r="E114" i="4" s="1"/>
  <c r="AF113" i="4"/>
  <c r="AE113" i="4"/>
  <c r="AD113" i="4"/>
  <c r="AC113" i="4"/>
  <c r="O113" i="4"/>
  <c r="AB113" i="4" s="1"/>
  <c r="G113" i="4"/>
  <c r="D113" i="4"/>
  <c r="E113" i="4" s="1"/>
  <c r="AA113" i="4" s="1"/>
  <c r="AF112" i="4"/>
  <c r="AE112" i="4"/>
  <c r="AD112" i="4"/>
  <c r="AC112" i="4"/>
  <c r="O112" i="4"/>
  <c r="AB112" i="4" s="1"/>
  <c r="G112" i="4"/>
  <c r="D112" i="4"/>
  <c r="E112" i="4" s="1"/>
  <c r="AF111" i="4"/>
  <c r="AE111" i="4"/>
  <c r="AD111" i="4"/>
  <c r="AC111" i="4"/>
  <c r="O111" i="4"/>
  <c r="AB111" i="4" s="1"/>
  <c r="G111" i="4"/>
  <c r="D111" i="4"/>
  <c r="E111" i="4" s="1"/>
  <c r="AA111" i="4" s="1"/>
  <c r="AF110" i="4"/>
  <c r="AE110" i="4"/>
  <c r="AD110" i="4"/>
  <c r="AC110" i="4"/>
  <c r="AB110" i="4"/>
  <c r="O110" i="4"/>
  <c r="G110" i="4"/>
  <c r="D110" i="4"/>
  <c r="E110" i="4" s="1"/>
  <c r="AF109" i="4"/>
  <c r="AE109" i="4"/>
  <c r="AD109" i="4"/>
  <c r="AC109" i="4"/>
  <c r="O109" i="4"/>
  <c r="AB109" i="4" s="1"/>
  <c r="G109" i="4"/>
  <c r="D109" i="4"/>
  <c r="E109" i="4" s="1"/>
  <c r="AF108" i="4"/>
  <c r="AE108" i="4"/>
  <c r="AD108" i="4"/>
  <c r="AC108" i="4"/>
  <c r="O108" i="4"/>
  <c r="AB108" i="4" s="1"/>
  <c r="G108" i="4"/>
  <c r="D108" i="4"/>
  <c r="E108" i="4" s="1"/>
  <c r="AF107" i="4"/>
  <c r="AE107" i="4"/>
  <c r="AD107" i="4"/>
  <c r="AC107" i="4"/>
  <c r="O107" i="4"/>
  <c r="AB107" i="4" s="1"/>
  <c r="G107" i="4"/>
  <c r="D107" i="4"/>
  <c r="E107" i="4" s="1"/>
  <c r="AF106" i="4"/>
  <c r="AE106" i="4"/>
  <c r="AD106" i="4"/>
  <c r="AC106" i="4"/>
  <c r="O106" i="4"/>
  <c r="AB106" i="4" s="1"/>
  <c r="G106" i="4"/>
  <c r="D106" i="4"/>
  <c r="E106" i="4" s="1"/>
  <c r="AF105" i="4"/>
  <c r="AE105" i="4"/>
  <c r="AD105" i="4"/>
  <c r="AC105" i="4"/>
  <c r="O105" i="4"/>
  <c r="AB105" i="4" s="1"/>
  <c r="G105" i="4"/>
  <c r="D105" i="4"/>
  <c r="E105" i="4" s="1"/>
  <c r="AF104" i="4"/>
  <c r="AE104" i="4"/>
  <c r="AD104" i="4"/>
  <c r="AC104" i="4"/>
  <c r="O104" i="4"/>
  <c r="AB104" i="4" s="1"/>
  <c r="G104" i="4"/>
  <c r="D104" i="4"/>
  <c r="E104" i="4" s="1"/>
  <c r="AF103" i="4"/>
  <c r="AE103" i="4"/>
  <c r="AD103" i="4"/>
  <c r="AC103" i="4"/>
  <c r="O103" i="4"/>
  <c r="AB103" i="4" s="1"/>
  <c r="G103" i="4"/>
  <c r="D103" i="4"/>
  <c r="E103" i="4" s="1"/>
  <c r="AF102" i="4"/>
  <c r="AE102" i="4"/>
  <c r="AD102" i="4"/>
  <c r="AC102" i="4"/>
  <c r="O102" i="4"/>
  <c r="AB102" i="4" s="1"/>
  <c r="G102" i="4"/>
  <c r="D102" i="4"/>
  <c r="E102" i="4" s="1"/>
  <c r="AF101" i="4"/>
  <c r="AE101" i="4"/>
  <c r="AD101" i="4"/>
  <c r="AC101" i="4"/>
  <c r="O101" i="4"/>
  <c r="AB101" i="4" s="1"/>
  <c r="G101" i="4"/>
  <c r="D101" i="4"/>
  <c r="E101" i="4" s="1"/>
  <c r="AF100" i="4"/>
  <c r="AE100" i="4"/>
  <c r="AD100" i="4"/>
  <c r="AC100" i="4"/>
  <c r="O100" i="4"/>
  <c r="AB100" i="4" s="1"/>
  <c r="G100" i="4"/>
  <c r="D100" i="4"/>
  <c r="E100" i="4" s="1"/>
  <c r="AF99" i="4"/>
  <c r="AE99" i="4"/>
  <c r="AD99" i="4"/>
  <c r="AC99" i="4"/>
  <c r="O99" i="4"/>
  <c r="AB99" i="4" s="1"/>
  <c r="G99" i="4"/>
  <c r="D99" i="4"/>
  <c r="E99" i="4" s="1"/>
  <c r="AF98" i="4"/>
  <c r="AE98" i="4"/>
  <c r="AD98" i="4"/>
  <c r="AC98" i="4"/>
  <c r="O98" i="4"/>
  <c r="AB98" i="4" s="1"/>
  <c r="G98" i="4"/>
  <c r="D98" i="4"/>
  <c r="E98" i="4" s="1"/>
  <c r="AF97" i="4"/>
  <c r="AE97" i="4"/>
  <c r="AD97" i="4"/>
  <c r="AC97" i="4"/>
  <c r="O97" i="4"/>
  <c r="AB97" i="4" s="1"/>
  <c r="G97" i="4"/>
  <c r="D97" i="4"/>
  <c r="E97" i="4" s="1"/>
  <c r="AF96" i="4"/>
  <c r="AE96" i="4"/>
  <c r="AD96" i="4"/>
  <c r="AC96" i="4"/>
  <c r="O96" i="4"/>
  <c r="AB96" i="4" s="1"/>
  <c r="G96" i="4"/>
  <c r="D96" i="4"/>
  <c r="E96" i="4" s="1"/>
  <c r="AF95" i="4"/>
  <c r="AE95" i="4"/>
  <c r="AD95" i="4"/>
  <c r="AC95" i="4"/>
  <c r="O95" i="4"/>
  <c r="AB95" i="4" s="1"/>
  <c r="G95" i="4"/>
  <c r="D95" i="4"/>
  <c r="E95" i="4" s="1"/>
  <c r="AF94" i="4"/>
  <c r="AE94" i="4"/>
  <c r="AD94" i="4"/>
  <c r="AC94" i="4"/>
  <c r="O94" i="4"/>
  <c r="AB94" i="4" s="1"/>
  <c r="G94" i="4"/>
  <c r="D94" i="4"/>
  <c r="E94" i="4" s="1"/>
  <c r="AF93" i="4"/>
  <c r="AE93" i="4"/>
  <c r="AD93" i="4"/>
  <c r="AC93" i="4"/>
  <c r="O93" i="4"/>
  <c r="AB93" i="4" s="1"/>
  <c r="G93" i="4"/>
  <c r="D93" i="4"/>
  <c r="E93" i="4" s="1"/>
  <c r="AF92" i="4"/>
  <c r="AE92" i="4"/>
  <c r="AD92" i="4"/>
  <c r="AC92" i="4"/>
  <c r="O92" i="4"/>
  <c r="AB92" i="4" s="1"/>
  <c r="G92" i="4"/>
  <c r="D92" i="4"/>
  <c r="E92" i="4" s="1"/>
  <c r="AF91" i="4"/>
  <c r="AE91" i="4"/>
  <c r="AD91" i="4"/>
  <c r="AC91" i="4"/>
  <c r="O91" i="4"/>
  <c r="AB91" i="4" s="1"/>
  <c r="G91" i="4"/>
  <c r="D91" i="4"/>
  <c r="E91" i="4" s="1"/>
  <c r="AF90" i="4"/>
  <c r="AE90" i="4"/>
  <c r="AD90" i="4"/>
  <c r="AC90" i="4"/>
  <c r="O90" i="4"/>
  <c r="AB90" i="4" s="1"/>
  <c r="G90" i="4"/>
  <c r="D90" i="4"/>
  <c r="E90" i="4" s="1"/>
  <c r="AF89" i="4"/>
  <c r="AE89" i="4"/>
  <c r="AD89" i="4"/>
  <c r="AC89" i="4"/>
  <c r="O89" i="4"/>
  <c r="AB89" i="4" s="1"/>
  <c r="G89" i="4"/>
  <c r="D89" i="4"/>
  <c r="E89" i="4" s="1"/>
  <c r="AF88" i="4"/>
  <c r="AE88" i="4"/>
  <c r="AD88" i="4"/>
  <c r="AC88" i="4"/>
  <c r="O88" i="4"/>
  <c r="AB88" i="4" s="1"/>
  <c r="G88" i="4"/>
  <c r="D88" i="4"/>
  <c r="E88" i="4" s="1"/>
  <c r="AF87" i="4"/>
  <c r="AE87" i="4"/>
  <c r="AD87" i="4"/>
  <c r="AC87" i="4"/>
  <c r="O87" i="4"/>
  <c r="AB87" i="4" s="1"/>
  <c r="G87" i="4"/>
  <c r="D87" i="4"/>
  <c r="E87" i="4" s="1"/>
  <c r="AF86" i="4"/>
  <c r="AE86" i="4"/>
  <c r="AD86" i="4"/>
  <c r="AC86" i="4"/>
  <c r="O86" i="4"/>
  <c r="AB86" i="4" s="1"/>
  <c r="G86" i="4"/>
  <c r="D86" i="4"/>
  <c r="E86" i="4" s="1"/>
  <c r="AA86" i="4" s="1"/>
  <c r="AF85" i="4"/>
  <c r="AE85" i="4"/>
  <c r="AD85" i="4"/>
  <c r="AC85" i="4"/>
  <c r="O85" i="4"/>
  <c r="AB85" i="4" s="1"/>
  <c r="G85" i="4"/>
  <c r="D85" i="4"/>
  <c r="E85" i="4" s="1"/>
  <c r="AF84" i="4"/>
  <c r="AE84" i="4"/>
  <c r="AD84" i="4"/>
  <c r="AC84" i="4"/>
  <c r="O84" i="4"/>
  <c r="AB84" i="4" s="1"/>
  <c r="G84" i="4"/>
  <c r="D84" i="4"/>
  <c r="E84" i="4" s="1"/>
  <c r="AF83" i="4"/>
  <c r="AE83" i="4"/>
  <c r="AD83" i="4"/>
  <c r="AC83" i="4"/>
  <c r="O83" i="4"/>
  <c r="AB83" i="4" s="1"/>
  <c r="G83" i="4"/>
  <c r="D83" i="4"/>
  <c r="E83" i="4" s="1"/>
  <c r="AF82" i="4"/>
  <c r="AE82" i="4"/>
  <c r="AD82" i="4"/>
  <c r="AC82" i="4"/>
  <c r="O82" i="4"/>
  <c r="AB82" i="4" s="1"/>
  <c r="G82" i="4"/>
  <c r="D82" i="4"/>
  <c r="E82" i="4" s="1"/>
  <c r="AF81" i="4"/>
  <c r="AE81" i="4"/>
  <c r="AD81" i="4"/>
  <c r="AC81" i="4"/>
  <c r="O81" i="4"/>
  <c r="AB81" i="4" s="1"/>
  <c r="G81" i="4"/>
  <c r="D81" i="4"/>
  <c r="E81" i="4" s="1"/>
  <c r="AA81" i="4" s="1"/>
  <c r="AF80" i="4"/>
  <c r="AE80" i="4"/>
  <c r="AD80" i="4"/>
  <c r="AC80" i="4"/>
  <c r="O80" i="4"/>
  <c r="AB80" i="4" s="1"/>
  <c r="G80" i="4"/>
  <c r="D80" i="4"/>
  <c r="E80" i="4" s="1"/>
  <c r="AF79" i="4"/>
  <c r="AE79" i="4"/>
  <c r="AD79" i="4"/>
  <c r="AC79" i="4"/>
  <c r="O79" i="4"/>
  <c r="AB79" i="4" s="1"/>
  <c r="G79" i="4"/>
  <c r="D79" i="4"/>
  <c r="E79" i="4" s="1"/>
  <c r="AF78" i="4"/>
  <c r="AE78" i="4"/>
  <c r="AD78" i="4"/>
  <c r="AC78" i="4"/>
  <c r="O78" i="4"/>
  <c r="AB78" i="4" s="1"/>
  <c r="G78" i="4"/>
  <c r="D78" i="4"/>
  <c r="E78" i="4" s="1"/>
  <c r="AF77" i="4"/>
  <c r="AE77" i="4"/>
  <c r="AD77" i="4"/>
  <c r="AC77" i="4"/>
  <c r="O77" i="4"/>
  <c r="AB77" i="4" s="1"/>
  <c r="G77" i="4"/>
  <c r="D77" i="4"/>
  <c r="E77" i="4" s="1"/>
  <c r="AF76" i="4"/>
  <c r="AE76" i="4"/>
  <c r="AD76" i="4"/>
  <c r="AC76" i="4"/>
  <c r="O76" i="4"/>
  <c r="AB76" i="4" s="1"/>
  <c r="G76" i="4"/>
  <c r="D76" i="4"/>
  <c r="E76" i="4" s="1"/>
  <c r="AF75" i="4"/>
  <c r="AE75" i="4"/>
  <c r="AD75" i="4"/>
  <c r="AC75" i="4"/>
  <c r="O75" i="4"/>
  <c r="AB75" i="4" s="1"/>
  <c r="G75" i="4"/>
  <c r="D75" i="4"/>
  <c r="E75" i="4" s="1"/>
  <c r="AF74" i="4"/>
  <c r="AE74" i="4"/>
  <c r="AD74" i="4"/>
  <c r="AC74" i="4"/>
  <c r="O74" i="4"/>
  <c r="AB74" i="4" s="1"/>
  <c r="G74" i="4"/>
  <c r="D74" i="4"/>
  <c r="E74" i="4" s="1"/>
  <c r="AF73" i="4"/>
  <c r="AE73" i="4"/>
  <c r="AD73" i="4"/>
  <c r="AC73" i="4"/>
  <c r="O73" i="4"/>
  <c r="AB73" i="4" s="1"/>
  <c r="G73" i="4"/>
  <c r="D73" i="4"/>
  <c r="E73" i="4" s="1"/>
  <c r="AF72" i="4"/>
  <c r="AE72" i="4"/>
  <c r="AD72" i="4"/>
  <c r="AC72" i="4"/>
  <c r="O72" i="4"/>
  <c r="AB72" i="4" s="1"/>
  <c r="G72" i="4"/>
  <c r="D72" i="4"/>
  <c r="E72" i="4" s="1"/>
  <c r="AF71" i="4"/>
  <c r="AE71" i="4"/>
  <c r="AD71" i="4"/>
  <c r="AC71" i="4"/>
  <c r="O71" i="4"/>
  <c r="AB71" i="4" s="1"/>
  <c r="G71" i="4"/>
  <c r="D71" i="4"/>
  <c r="E71" i="4" s="1"/>
  <c r="AF70" i="4"/>
  <c r="AE70" i="4"/>
  <c r="AD70" i="4"/>
  <c r="AC70" i="4"/>
  <c r="O70" i="4"/>
  <c r="AB70" i="4" s="1"/>
  <c r="G70" i="4"/>
  <c r="D70" i="4"/>
  <c r="E70" i="4" s="1"/>
  <c r="AF69" i="4"/>
  <c r="AE69" i="4"/>
  <c r="AD69" i="4"/>
  <c r="AC69" i="4"/>
  <c r="O69" i="4"/>
  <c r="AB69" i="4" s="1"/>
  <c r="G69" i="4"/>
  <c r="D69" i="4"/>
  <c r="E69" i="4" s="1"/>
  <c r="AA69" i="4" s="1"/>
  <c r="AF68" i="4"/>
  <c r="AE68" i="4"/>
  <c r="AD68" i="4"/>
  <c r="AC68" i="4"/>
  <c r="O68" i="4"/>
  <c r="AB68" i="4" s="1"/>
  <c r="G68" i="4"/>
  <c r="D68" i="4"/>
  <c r="E68" i="4" s="1"/>
  <c r="AF67" i="4"/>
  <c r="AE67" i="4"/>
  <c r="AD67" i="4"/>
  <c r="AC67" i="4"/>
  <c r="O67" i="4"/>
  <c r="AB67" i="4" s="1"/>
  <c r="G67" i="4"/>
  <c r="D67" i="4"/>
  <c r="E67" i="4" s="1"/>
  <c r="AF66" i="4"/>
  <c r="AE66" i="4"/>
  <c r="AD66" i="4"/>
  <c r="AC66" i="4"/>
  <c r="O66" i="4"/>
  <c r="AB66" i="4" s="1"/>
  <c r="G66" i="4"/>
  <c r="D66" i="4"/>
  <c r="E66" i="4" s="1"/>
  <c r="AF65" i="4"/>
  <c r="AE65" i="4"/>
  <c r="AD65" i="4"/>
  <c r="AC65" i="4"/>
  <c r="O65" i="4"/>
  <c r="AB65" i="4" s="1"/>
  <c r="G65" i="4"/>
  <c r="D65" i="4"/>
  <c r="E65" i="4" s="1"/>
  <c r="AA65" i="4" s="1"/>
  <c r="AF64" i="4"/>
  <c r="AE64" i="4"/>
  <c r="AD64" i="4"/>
  <c r="AC64" i="4"/>
  <c r="O64" i="4"/>
  <c r="AB64" i="4" s="1"/>
  <c r="G64" i="4"/>
  <c r="D64" i="4"/>
  <c r="E64" i="4" s="1"/>
  <c r="AA64" i="4" s="1"/>
  <c r="AF63" i="4"/>
  <c r="AE63" i="4"/>
  <c r="AD63" i="4"/>
  <c r="AC63" i="4"/>
  <c r="O63" i="4"/>
  <c r="AB63" i="4" s="1"/>
  <c r="G63" i="4"/>
  <c r="D63" i="4"/>
  <c r="E63" i="4" s="1"/>
  <c r="AF62" i="4"/>
  <c r="AE62" i="4"/>
  <c r="AD62" i="4"/>
  <c r="AC62" i="4"/>
  <c r="O62" i="4"/>
  <c r="AB62" i="4" s="1"/>
  <c r="G62" i="4"/>
  <c r="D62" i="4"/>
  <c r="E62" i="4" s="1"/>
  <c r="AF61" i="4"/>
  <c r="AE61" i="4"/>
  <c r="AD61" i="4"/>
  <c r="AC61" i="4"/>
  <c r="O61" i="4"/>
  <c r="AB61" i="4" s="1"/>
  <c r="G61" i="4"/>
  <c r="D61" i="4"/>
  <c r="E61" i="4" s="1"/>
  <c r="AF60" i="4"/>
  <c r="AE60" i="4"/>
  <c r="AD60" i="4"/>
  <c r="AC60" i="4"/>
  <c r="O60" i="4"/>
  <c r="AB60" i="4" s="1"/>
  <c r="G60" i="4"/>
  <c r="D60" i="4"/>
  <c r="E60" i="4" s="1"/>
  <c r="AF59" i="4"/>
  <c r="AE59" i="4"/>
  <c r="AD59" i="4"/>
  <c r="AC59" i="4"/>
  <c r="O59" i="4"/>
  <c r="AB59" i="4" s="1"/>
  <c r="G59" i="4"/>
  <c r="D59" i="4"/>
  <c r="E59" i="4" s="1"/>
  <c r="AF58" i="4"/>
  <c r="AE58" i="4"/>
  <c r="AD58" i="4"/>
  <c r="AC58" i="4"/>
  <c r="O58" i="4"/>
  <c r="AB58" i="4" s="1"/>
  <c r="G58" i="4"/>
  <c r="D58" i="4"/>
  <c r="E58" i="4" s="1"/>
  <c r="AF57" i="4"/>
  <c r="AE57" i="4"/>
  <c r="AD57" i="4"/>
  <c r="AC57" i="4"/>
  <c r="O57" i="4"/>
  <c r="AB57" i="4" s="1"/>
  <c r="G57" i="4"/>
  <c r="D57" i="4"/>
  <c r="E57" i="4" s="1"/>
  <c r="AF56" i="4"/>
  <c r="AE56" i="4"/>
  <c r="AD56" i="4"/>
  <c r="AC56" i="4"/>
  <c r="O56" i="4"/>
  <c r="AB56" i="4" s="1"/>
  <c r="G56" i="4"/>
  <c r="D56" i="4"/>
  <c r="E56" i="4" s="1"/>
  <c r="AF55" i="4"/>
  <c r="AE55" i="4"/>
  <c r="AD55" i="4"/>
  <c r="AC55" i="4"/>
  <c r="O55" i="4"/>
  <c r="AB55" i="4" s="1"/>
  <c r="G55" i="4"/>
  <c r="D55" i="4"/>
  <c r="E55" i="4" s="1"/>
  <c r="AF54" i="4"/>
  <c r="AE54" i="4"/>
  <c r="AD54" i="4"/>
  <c r="AC54" i="4"/>
  <c r="O54" i="4"/>
  <c r="AB54" i="4" s="1"/>
  <c r="G54" i="4"/>
  <c r="D54" i="4"/>
  <c r="E54" i="4" s="1"/>
  <c r="AF53" i="4"/>
  <c r="AE53" i="4"/>
  <c r="AD53" i="4"/>
  <c r="AC53" i="4"/>
  <c r="O53" i="4"/>
  <c r="AB53" i="4" s="1"/>
  <c r="G53" i="4"/>
  <c r="D53" i="4"/>
  <c r="E53" i="4" s="1"/>
  <c r="AA53" i="4" s="1"/>
  <c r="AF52" i="4"/>
  <c r="AE52" i="4"/>
  <c r="AD52" i="4"/>
  <c r="AC52" i="4"/>
  <c r="O52" i="4"/>
  <c r="AB52" i="4" s="1"/>
  <c r="G52" i="4"/>
  <c r="D52" i="4"/>
  <c r="E52" i="4" s="1"/>
  <c r="AF51" i="4"/>
  <c r="AE51" i="4"/>
  <c r="AD51" i="4"/>
  <c r="AC51" i="4"/>
  <c r="O51" i="4"/>
  <c r="AB51" i="4" s="1"/>
  <c r="G51" i="4"/>
  <c r="D51" i="4"/>
  <c r="E51" i="4" s="1"/>
  <c r="AF50" i="4"/>
  <c r="AE50" i="4"/>
  <c r="AD50" i="4"/>
  <c r="AC50" i="4"/>
  <c r="O50" i="4"/>
  <c r="AB50" i="4" s="1"/>
  <c r="G50" i="4"/>
  <c r="D50" i="4"/>
  <c r="E50" i="4" s="1"/>
  <c r="AA50" i="4" s="1"/>
  <c r="AF49" i="4"/>
  <c r="AE49" i="4"/>
  <c r="AD49" i="4"/>
  <c r="AC49" i="4"/>
  <c r="O49" i="4"/>
  <c r="AB49" i="4" s="1"/>
  <c r="G49" i="4"/>
  <c r="D49" i="4"/>
  <c r="E49" i="4" s="1"/>
  <c r="AF48" i="4"/>
  <c r="AE48" i="4"/>
  <c r="AD48" i="4"/>
  <c r="AC48" i="4"/>
  <c r="O48" i="4"/>
  <c r="AB48" i="4" s="1"/>
  <c r="G48" i="4"/>
  <c r="D48" i="4"/>
  <c r="E48" i="4" s="1"/>
  <c r="AF47" i="4"/>
  <c r="AE47" i="4"/>
  <c r="AD47" i="4"/>
  <c r="AC47" i="4"/>
  <c r="O47" i="4"/>
  <c r="AB47" i="4" s="1"/>
  <c r="G47" i="4"/>
  <c r="D47" i="4"/>
  <c r="E47" i="4" s="1"/>
  <c r="AF46" i="4"/>
  <c r="AE46" i="4"/>
  <c r="AD46" i="4"/>
  <c r="AC46" i="4"/>
  <c r="O46" i="4"/>
  <c r="AB46" i="4" s="1"/>
  <c r="G46" i="4"/>
  <c r="D46" i="4"/>
  <c r="E46" i="4" s="1"/>
  <c r="AF45" i="4"/>
  <c r="AE45" i="4"/>
  <c r="AD45" i="4"/>
  <c r="AC45" i="4"/>
  <c r="O45" i="4"/>
  <c r="AB45" i="4" s="1"/>
  <c r="G45" i="4"/>
  <c r="D45" i="4"/>
  <c r="E45" i="4" s="1"/>
  <c r="AA45" i="4" s="1"/>
  <c r="AF44" i="4"/>
  <c r="AE44" i="4"/>
  <c r="AD44" i="4"/>
  <c r="AC44" i="4"/>
  <c r="O44" i="4"/>
  <c r="AB44" i="4" s="1"/>
  <c r="G44" i="4"/>
  <c r="D44" i="4"/>
  <c r="E44" i="4" s="1"/>
  <c r="AF43" i="4"/>
  <c r="AE43" i="4"/>
  <c r="AD43" i="4"/>
  <c r="AC43" i="4"/>
  <c r="O43" i="4"/>
  <c r="AB43" i="4" s="1"/>
  <c r="G43" i="4"/>
  <c r="D43" i="4"/>
  <c r="E43" i="4" s="1"/>
  <c r="AF42" i="4"/>
  <c r="AE42" i="4"/>
  <c r="AD42" i="4"/>
  <c r="AC42" i="4"/>
  <c r="O42" i="4"/>
  <c r="AB42" i="4" s="1"/>
  <c r="G42" i="4"/>
  <c r="D42" i="4"/>
  <c r="E42" i="4" s="1"/>
  <c r="AF41" i="4"/>
  <c r="AE41" i="4"/>
  <c r="AD41" i="4"/>
  <c r="AC41" i="4"/>
  <c r="O41" i="4"/>
  <c r="AB41" i="4" s="1"/>
  <c r="G41" i="4"/>
  <c r="D41" i="4"/>
  <c r="E41" i="4" s="1"/>
  <c r="AA41" i="4" s="1"/>
  <c r="AF40" i="4"/>
  <c r="AE40" i="4"/>
  <c r="AD40" i="4"/>
  <c r="AC40" i="4"/>
  <c r="O40" i="4"/>
  <c r="AB40" i="4" s="1"/>
  <c r="G40" i="4"/>
  <c r="D40" i="4"/>
  <c r="E40" i="4" s="1"/>
  <c r="AA40" i="4" s="1"/>
  <c r="AF39" i="4"/>
  <c r="AE39" i="4"/>
  <c r="AD39" i="4"/>
  <c r="AC39" i="4"/>
  <c r="O39" i="4"/>
  <c r="AB39" i="4" s="1"/>
  <c r="G39" i="4"/>
  <c r="D39" i="4"/>
  <c r="E39" i="4" s="1"/>
  <c r="AF38" i="4"/>
  <c r="AE38" i="4"/>
  <c r="AD38" i="4"/>
  <c r="AC38" i="4"/>
  <c r="O38" i="4"/>
  <c r="AB38" i="4" s="1"/>
  <c r="G38" i="4"/>
  <c r="D38" i="4"/>
  <c r="E38" i="4" s="1"/>
  <c r="AA38" i="4" s="1"/>
  <c r="AF37" i="4"/>
  <c r="AE37" i="4"/>
  <c r="AD37" i="4"/>
  <c r="AC37" i="4"/>
  <c r="O37" i="4"/>
  <c r="AB37" i="4" s="1"/>
  <c r="G37" i="4"/>
  <c r="D37" i="4"/>
  <c r="E37" i="4" s="1"/>
  <c r="AF36" i="4"/>
  <c r="AE36" i="4"/>
  <c r="AD36" i="4"/>
  <c r="AC36" i="4"/>
  <c r="O36" i="4"/>
  <c r="AB36" i="4" s="1"/>
  <c r="G36" i="4"/>
  <c r="D36" i="4"/>
  <c r="E36" i="4" s="1"/>
  <c r="AF35" i="4"/>
  <c r="AE35" i="4"/>
  <c r="AD35" i="4"/>
  <c r="AC35" i="4"/>
  <c r="O35" i="4"/>
  <c r="AB35" i="4" s="1"/>
  <c r="G35" i="4"/>
  <c r="D35" i="4"/>
  <c r="E35" i="4" s="1"/>
  <c r="AF34" i="4"/>
  <c r="AE34" i="4"/>
  <c r="AD34" i="4"/>
  <c r="AC34" i="4"/>
  <c r="O34" i="4"/>
  <c r="AB34" i="4" s="1"/>
  <c r="G34" i="4"/>
  <c r="D34" i="4"/>
  <c r="E34" i="4" s="1"/>
  <c r="AF33" i="4"/>
  <c r="AE33" i="4"/>
  <c r="AD33" i="4"/>
  <c r="AC33" i="4"/>
  <c r="O33" i="4"/>
  <c r="AB33" i="4" s="1"/>
  <c r="G33" i="4"/>
  <c r="D33" i="4"/>
  <c r="E33" i="4" s="1"/>
  <c r="AF32" i="4"/>
  <c r="AE32" i="4"/>
  <c r="AD32" i="4"/>
  <c r="AC32" i="4"/>
  <c r="O32" i="4"/>
  <c r="AB32" i="4" s="1"/>
  <c r="G32" i="4"/>
  <c r="D32" i="4"/>
  <c r="E32" i="4" s="1"/>
  <c r="AF31" i="4"/>
  <c r="AE31" i="4"/>
  <c r="AD31" i="4"/>
  <c r="AC31" i="4"/>
  <c r="O31" i="4"/>
  <c r="AB31" i="4" s="1"/>
  <c r="G31" i="4"/>
  <c r="D31" i="4"/>
  <c r="E31" i="4" s="1"/>
  <c r="AF30" i="4"/>
  <c r="AE30" i="4"/>
  <c r="AD30" i="4"/>
  <c r="AC30" i="4"/>
  <c r="O30" i="4"/>
  <c r="AB30" i="4" s="1"/>
  <c r="G30" i="4"/>
  <c r="D30" i="4"/>
  <c r="E30" i="4" s="1"/>
  <c r="AF29" i="4"/>
  <c r="AE29" i="4"/>
  <c r="AD29" i="4"/>
  <c r="AC29" i="4"/>
  <c r="O29" i="4"/>
  <c r="AB29" i="4" s="1"/>
  <c r="G29" i="4"/>
  <c r="D29" i="4"/>
  <c r="E29" i="4" s="1"/>
  <c r="AA29" i="4" s="1"/>
  <c r="AF28" i="4"/>
  <c r="AE28" i="4"/>
  <c r="AD28" i="4"/>
  <c r="AC28" i="4"/>
  <c r="O28" i="4"/>
  <c r="AB28" i="4" s="1"/>
  <c r="G28" i="4"/>
  <c r="D28" i="4"/>
  <c r="E28" i="4" s="1"/>
  <c r="AA28" i="4" s="1"/>
  <c r="AF27" i="4"/>
  <c r="AE27" i="4"/>
  <c r="AD27" i="4"/>
  <c r="AC27" i="4"/>
  <c r="O27" i="4"/>
  <c r="AB27" i="4" s="1"/>
  <c r="G27" i="4"/>
  <c r="D27" i="4"/>
  <c r="E27" i="4" s="1"/>
  <c r="AF26" i="4"/>
  <c r="AE26" i="4"/>
  <c r="AD26" i="4"/>
  <c r="AC26" i="4"/>
  <c r="O26" i="4"/>
  <c r="AB26" i="4" s="1"/>
  <c r="G26" i="4"/>
  <c r="D26" i="4"/>
  <c r="E26" i="4" s="1"/>
  <c r="AA26" i="4" s="1"/>
  <c r="AF25" i="4"/>
  <c r="AE25" i="4"/>
  <c r="AD25" i="4"/>
  <c r="AC25" i="4"/>
  <c r="O25" i="4"/>
  <c r="AB25" i="4" s="1"/>
  <c r="G25" i="4"/>
  <c r="D25" i="4"/>
  <c r="E25" i="4" s="1"/>
  <c r="AF24" i="4"/>
  <c r="AE24" i="4"/>
  <c r="AD24" i="4"/>
  <c r="AC24" i="4"/>
  <c r="O24" i="4"/>
  <c r="AB24" i="4" s="1"/>
  <c r="G24" i="4"/>
  <c r="D24" i="4"/>
  <c r="E24" i="4" s="1"/>
  <c r="AF23" i="4"/>
  <c r="AE23" i="4"/>
  <c r="AD23" i="4"/>
  <c r="AC23" i="4"/>
  <c r="O23" i="4"/>
  <c r="AB23" i="4" s="1"/>
  <c r="G23" i="4"/>
  <c r="D23" i="4"/>
  <c r="E23" i="4" s="1"/>
  <c r="AF22" i="4"/>
  <c r="AE22" i="4"/>
  <c r="AD22" i="4"/>
  <c r="AC22" i="4"/>
  <c r="O22" i="4"/>
  <c r="AB22" i="4" s="1"/>
  <c r="G22" i="4"/>
  <c r="D22" i="4"/>
  <c r="E22" i="4" s="1"/>
  <c r="AF21" i="4"/>
  <c r="AE21" i="4"/>
  <c r="AD21" i="4"/>
  <c r="AC21" i="4"/>
  <c r="O21" i="4"/>
  <c r="AB21" i="4" s="1"/>
  <c r="G21" i="4"/>
  <c r="D21" i="4"/>
  <c r="E21" i="4" s="1"/>
  <c r="AF20" i="4"/>
  <c r="AE20" i="4"/>
  <c r="AD20" i="4"/>
  <c r="AC20" i="4"/>
  <c r="O20" i="4"/>
  <c r="AB20" i="4" s="1"/>
  <c r="G20" i="4"/>
  <c r="D20" i="4"/>
  <c r="E20" i="4" s="1"/>
  <c r="AF19" i="4"/>
  <c r="AE19" i="4"/>
  <c r="AD19" i="4"/>
  <c r="AC19" i="4"/>
  <c r="O19" i="4"/>
  <c r="AB19" i="4" s="1"/>
  <c r="G19" i="4"/>
  <c r="D19" i="4"/>
  <c r="E19" i="4" s="1"/>
  <c r="AF18" i="4"/>
  <c r="AE18" i="4"/>
  <c r="AD18" i="4"/>
  <c r="AC18" i="4"/>
  <c r="O18" i="4"/>
  <c r="AB18" i="4" s="1"/>
  <c r="G18" i="4"/>
  <c r="D18" i="4"/>
  <c r="E18" i="4" s="1"/>
  <c r="AF17" i="4"/>
  <c r="AE17" i="4"/>
  <c r="AD17" i="4"/>
  <c r="AC17" i="4"/>
  <c r="O17" i="4"/>
  <c r="AB17" i="4" s="1"/>
  <c r="G17" i="4"/>
  <c r="D17" i="4"/>
  <c r="E17" i="4" s="1"/>
  <c r="AA17" i="4" s="1"/>
  <c r="AF16" i="4"/>
  <c r="AE16" i="4"/>
  <c r="AD16" i="4"/>
  <c r="AC16" i="4"/>
  <c r="O16" i="4"/>
  <c r="AB16" i="4" s="1"/>
  <c r="G16" i="4"/>
  <c r="D16" i="4"/>
  <c r="E16" i="4" s="1"/>
  <c r="AA16" i="4" s="1"/>
  <c r="AF15" i="4"/>
  <c r="AE15" i="4"/>
  <c r="AD15" i="4"/>
  <c r="AC15" i="4"/>
  <c r="O15" i="4"/>
  <c r="AB15" i="4" s="1"/>
  <c r="G15" i="4"/>
  <c r="D15" i="4"/>
  <c r="E15" i="4" s="1"/>
  <c r="AF14" i="4"/>
  <c r="AE14" i="4"/>
  <c r="AD14" i="4"/>
  <c r="AC14" i="4"/>
  <c r="O14" i="4"/>
  <c r="AB14" i="4" s="1"/>
  <c r="G14" i="4"/>
  <c r="D14" i="4"/>
  <c r="E14" i="4" s="1"/>
  <c r="AA14" i="4" s="1"/>
  <c r="AF13" i="4"/>
  <c r="AE13" i="4"/>
  <c r="AD13" i="4"/>
  <c r="AC13" i="4"/>
  <c r="O13" i="4"/>
  <c r="AB13" i="4" s="1"/>
  <c r="G13" i="4"/>
  <c r="D13" i="4"/>
  <c r="E13" i="4" s="1"/>
  <c r="AF12" i="4"/>
  <c r="AE12" i="4"/>
  <c r="AD12" i="4"/>
  <c r="AC12" i="4"/>
  <c r="O12" i="4"/>
  <c r="AB12" i="4" s="1"/>
  <c r="G12" i="4"/>
  <c r="D12" i="4"/>
  <c r="E12" i="4" s="1"/>
  <c r="AF11" i="4"/>
  <c r="AE11" i="4"/>
  <c r="AD11" i="4"/>
  <c r="AC11" i="4"/>
  <c r="O11" i="4"/>
  <c r="AB11" i="4" s="1"/>
  <c r="G11" i="4"/>
  <c r="D11" i="4"/>
  <c r="E11" i="4" s="1"/>
  <c r="AF10" i="4"/>
  <c r="AE10" i="4"/>
  <c r="AD10" i="4"/>
  <c r="AC10" i="4"/>
  <c r="O10" i="4"/>
  <c r="AB10" i="4" s="1"/>
  <c r="G10" i="4"/>
  <c r="D10" i="4"/>
  <c r="E10" i="4" s="1"/>
  <c r="AF9" i="4"/>
  <c r="AE9" i="4"/>
  <c r="AD9" i="4"/>
  <c r="AC9" i="4"/>
  <c r="O9" i="4"/>
  <c r="AB9" i="4" s="1"/>
  <c r="G9" i="4"/>
  <c r="D9" i="4"/>
  <c r="E9" i="4" s="1"/>
  <c r="AF8" i="4"/>
  <c r="AE8" i="4"/>
  <c r="AD8" i="4"/>
  <c r="AC8" i="4"/>
  <c r="O8" i="4"/>
  <c r="AB8" i="4" s="1"/>
  <c r="G8" i="4"/>
  <c r="D8" i="4"/>
  <c r="E8" i="4" s="1"/>
  <c r="AF7" i="4"/>
  <c r="AE7" i="4"/>
  <c r="AD7" i="4"/>
  <c r="AC7" i="4"/>
  <c r="O7" i="4"/>
  <c r="AB7" i="4" s="1"/>
  <c r="G7" i="4"/>
  <c r="D7" i="4"/>
  <c r="E7" i="4" s="1"/>
  <c r="AF6" i="4"/>
  <c r="AE6" i="4"/>
  <c r="AD6" i="4"/>
  <c r="AC6" i="4"/>
  <c r="O6" i="4"/>
  <c r="AB6" i="4" s="1"/>
  <c r="G6" i="4"/>
  <c r="D6" i="4"/>
  <c r="E6" i="4" s="1"/>
  <c r="AF5" i="4"/>
  <c r="AE5" i="4"/>
  <c r="AD5" i="4"/>
  <c r="AC5" i="4"/>
  <c r="O5" i="4"/>
  <c r="AB5" i="4" s="1"/>
  <c r="G5" i="4"/>
  <c r="D5" i="4"/>
  <c r="E5" i="4" s="1"/>
  <c r="AA5" i="4" s="1"/>
  <c r="AF4" i="4"/>
  <c r="AE4" i="4"/>
  <c r="AD4" i="4"/>
  <c r="AC4" i="4"/>
  <c r="O4" i="4"/>
  <c r="AB4" i="4" s="1"/>
  <c r="G4" i="4"/>
  <c r="D4" i="4"/>
  <c r="E4" i="4" s="1"/>
  <c r="AA4" i="4" s="1"/>
  <c r="AF3" i="4"/>
  <c r="AE3" i="4"/>
  <c r="AD3" i="4"/>
  <c r="AC3" i="4"/>
  <c r="O3" i="4"/>
  <c r="AB3" i="4" s="1"/>
  <c r="G3" i="4"/>
  <c r="D3" i="4"/>
  <c r="E3" i="4" s="1"/>
  <c r="AA300" i="4" l="1"/>
  <c r="AA387" i="4"/>
  <c r="AA67" i="4"/>
  <c r="AA79" i="4"/>
  <c r="AA171" i="4"/>
  <c r="AA215" i="4"/>
  <c r="AA256" i="4"/>
  <c r="AA384" i="4"/>
  <c r="AA200" i="4"/>
  <c r="AA357" i="4"/>
  <c r="AA362" i="4"/>
  <c r="AA180" i="4"/>
  <c r="AA73" i="4"/>
  <c r="AA97" i="4"/>
  <c r="AA192" i="4"/>
  <c r="AA437" i="4"/>
  <c r="AA449" i="4"/>
  <c r="AA8" i="4"/>
  <c r="AA20" i="4"/>
  <c r="AA32" i="4"/>
  <c r="AA56" i="4"/>
  <c r="AA172" i="4"/>
  <c r="AA378" i="4"/>
  <c r="AA395" i="4"/>
  <c r="AA417" i="4"/>
  <c r="AA167" i="4"/>
  <c r="AA223" i="4"/>
  <c r="AA542" i="4"/>
  <c r="AA9" i="4"/>
  <c r="AA21" i="4"/>
  <c r="AA33" i="4"/>
  <c r="AA57" i="4"/>
  <c r="AA145" i="4"/>
  <c r="AA252" i="4"/>
  <c r="AA274" i="4"/>
  <c r="AA140" i="4"/>
  <c r="AA444" i="4"/>
  <c r="AA210" i="4"/>
  <c r="AA239" i="4"/>
  <c r="AA369" i="4"/>
  <c r="AA466" i="4"/>
  <c r="AA2" i="4"/>
  <c r="AA6" i="4"/>
  <c r="AA95" i="4"/>
  <c r="AA174" i="4"/>
  <c r="AA354" i="4"/>
  <c r="AA406" i="4"/>
  <c r="AA429" i="4"/>
  <c r="AA107" i="4"/>
  <c r="AA127" i="4"/>
  <c r="AA132" i="4"/>
  <c r="AA137" i="4"/>
  <c r="AA159" i="4"/>
  <c r="AA349" i="4"/>
  <c r="AA371" i="4"/>
  <c r="AA421" i="4"/>
  <c r="AA533" i="4"/>
  <c r="AA15" i="4"/>
  <c r="AA27" i="4"/>
  <c r="AA39" i="4"/>
  <c r="AA51" i="4"/>
  <c r="AA63" i="4"/>
  <c r="AA68" i="4"/>
  <c r="AA161" i="4"/>
  <c r="AA196" i="4"/>
  <c r="AA263" i="4"/>
  <c r="AA285" i="4"/>
  <c r="AA351" i="4"/>
  <c r="AA151" i="4"/>
  <c r="AA489" i="4"/>
  <c r="AA474" i="4"/>
  <c r="AA328" i="4"/>
  <c r="AA89" i="4"/>
  <c r="AA148" i="4"/>
  <c r="AA198" i="4"/>
  <c r="AA208" i="4"/>
  <c r="AA272" i="4"/>
  <c r="AA289" i="4"/>
  <c r="AA348" i="4"/>
  <c r="AA365" i="4"/>
  <c r="AA580" i="4"/>
  <c r="AA592" i="4"/>
  <c r="AA184" i="4"/>
  <c r="AA220" i="4"/>
  <c r="AA243" i="4"/>
  <c r="AA248" i="4"/>
  <c r="AA327" i="4"/>
  <c r="AA356" i="4"/>
  <c r="AA477" i="4"/>
  <c r="AA482" i="4"/>
  <c r="AA552" i="4"/>
  <c r="AA135" i="4"/>
  <c r="AA176" i="4"/>
  <c r="AA181" i="4"/>
  <c r="AA235" i="4"/>
  <c r="AA255" i="4"/>
  <c r="AA317" i="4"/>
  <c r="AA332" i="4"/>
  <c r="AA353" i="4"/>
  <c r="AA358" i="4"/>
  <c r="AA376" i="4"/>
  <c r="AA413" i="4"/>
  <c r="AA464" i="4"/>
  <c r="AA513" i="4"/>
  <c r="AA530" i="4"/>
  <c r="AA554" i="4"/>
  <c r="AA324" i="4"/>
  <c r="AA329" i="4"/>
  <c r="AA345" i="4"/>
  <c r="AA469" i="4"/>
  <c r="AA103" i="4"/>
  <c r="AA108" i="4"/>
  <c r="AA201" i="4"/>
  <c r="AA232" i="4"/>
  <c r="AA247" i="4"/>
  <c r="AA294" i="4"/>
  <c r="AA299" i="4"/>
  <c r="AA347" i="4"/>
  <c r="AA391" i="4"/>
  <c r="AA425" i="4"/>
  <c r="AA433" i="4"/>
  <c r="AA242" i="4"/>
  <c r="AA10" i="4"/>
  <c r="AA22" i="4"/>
  <c r="AA34" i="4"/>
  <c r="AA46" i="4"/>
  <c r="AA375" i="4"/>
  <c r="AA70" i="4"/>
  <c r="AA156" i="4"/>
  <c r="AA190" i="4"/>
  <c r="AA213" i="4"/>
  <c r="AA279" i="4"/>
  <c r="AA301" i="4"/>
  <c r="AA401" i="4"/>
  <c r="AA409" i="4"/>
  <c r="AA7" i="4"/>
  <c r="AA19" i="4"/>
  <c r="AA31" i="4"/>
  <c r="AA43" i="4"/>
  <c r="AA205" i="4"/>
  <c r="AA226" i="4"/>
  <c r="AA251" i="4"/>
  <c r="AA271" i="4"/>
  <c r="AA281" i="4"/>
  <c r="AA338" i="4"/>
  <c r="AA346" i="4"/>
  <c r="AA372" i="4"/>
  <c r="AA398" i="4"/>
  <c r="AA550" i="4"/>
  <c r="AA58" i="4"/>
  <c r="AA75" i="4"/>
  <c r="AA179" i="4"/>
  <c r="AA188" i="4"/>
  <c r="AA204" i="4"/>
  <c r="AA217" i="4"/>
  <c r="AA244" i="4"/>
  <c r="AA276" i="4"/>
  <c r="AA291" i="4"/>
  <c r="AA296" i="4"/>
  <c r="AA309" i="4"/>
  <c r="AA314" i="4"/>
  <c r="AA319" i="4"/>
  <c r="AA441" i="4"/>
  <c r="AA519" i="4"/>
  <c r="AA578" i="4"/>
  <c r="AA588" i="4"/>
  <c r="AA12" i="4"/>
  <c r="AA24" i="4"/>
  <c r="AA36" i="4"/>
  <c r="AA60" i="4"/>
  <c r="AA77" i="4"/>
  <c r="AA87" i="4"/>
  <c r="AA92" i="4"/>
  <c r="AA100" i="4"/>
  <c r="AA119" i="4"/>
  <c r="AA124" i="4"/>
  <c r="AA225" i="4"/>
  <c r="AA236" i="4"/>
  <c r="AA265" i="4"/>
  <c r="AA268" i="4"/>
  <c r="AA273" i="4"/>
  <c r="AA288" i="4"/>
  <c r="AA370" i="4"/>
  <c r="AA373" i="4"/>
  <c r="AA381" i="4"/>
  <c r="AA400" i="4"/>
  <c r="AA460" i="4"/>
  <c r="AA526" i="4"/>
  <c r="AA55" i="4"/>
  <c r="AA84" i="4"/>
  <c r="AA143" i="4"/>
  <c r="AA187" i="4"/>
  <c r="AA203" i="4"/>
  <c r="AA211" i="4"/>
  <c r="AA219" i="4"/>
  <c r="AA257" i="4"/>
  <c r="AA303" i="4"/>
  <c r="AA334" i="4"/>
  <c r="AA389" i="4"/>
  <c r="AA392" i="4"/>
  <c r="AA408" i="4"/>
  <c r="AA454" i="4"/>
  <c r="AA457" i="4"/>
  <c r="AA572" i="4"/>
  <c r="AA74" i="4"/>
  <c r="AA94" i="4"/>
  <c r="AA110" i="4"/>
  <c r="AA126" i="4"/>
  <c r="AA178" i="4"/>
  <c r="AA259" i="4"/>
  <c r="AA267" i="4"/>
  <c r="AA295" i="4"/>
  <c r="AA323" i="4"/>
  <c r="AA339" i="4"/>
  <c r="AA394" i="4"/>
  <c r="AA418" i="4"/>
  <c r="AA432" i="4"/>
  <c r="AA448" i="4"/>
  <c r="AA478" i="4"/>
  <c r="AA518" i="4"/>
  <c r="AA523" i="4"/>
  <c r="AA458" i="4"/>
  <c r="AA11" i="4"/>
  <c r="AA23" i="4"/>
  <c r="AA35" i="4"/>
  <c r="AA47" i="4"/>
  <c r="AA59" i="4"/>
  <c r="AA76" i="4"/>
  <c r="AA91" i="4"/>
  <c r="AA123" i="4"/>
  <c r="AA134" i="4"/>
  <c r="AA142" i="4"/>
  <c r="AA183" i="4"/>
  <c r="AA186" i="4"/>
  <c r="AA221" i="4"/>
  <c r="AA287" i="4"/>
  <c r="AA297" i="4"/>
  <c r="AA305" i="4"/>
  <c r="AA310" i="4"/>
  <c r="AA315" i="4"/>
  <c r="AA320" i="4"/>
  <c r="AA380" i="4"/>
  <c r="AA402" i="4"/>
  <c r="AA410" i="4"/>
  <c r="AA442" i="4"/>
  <c r="AA445" i="4"/>
  <c r="AA456" i="4"/>
  <c r="AA18" i="4"/>
  <c r="AA30" i="4"/>
  <c r="AA42" i="4"/>
  <c r="AA71" i="4"/>
  <c r="AA158" i="4"/>
  <c r="AA229" i="4"/>
  <c r="AA237" i="4"/>
  <c r="AA253" i="4"/>
  <c r="AA269" i="4"/>
  <c r="AA277" i="4"/>
  <c r="AA282" i="4"/>
  <c r="AA325" i="4"/>
  <c r="AA333" i="4"/>
  <c r="AA355" i="4"/>
  <c r="AA363" i="4"/>
  <c r="AA377" i="4"/>
  <c r="AA388" i="4"/>
  <c r="AA404" i="4"/>
  <c r="AA453" i="4"/>
  <c r="AA498" i="4"/>
  <c r="AA515" i="4"/>
  <c r="AA520" i="4"/>
  <c r="AA258" i="4"/>
  <c r="AA13" i="4"/>
  <c r="AA25" i="4"/>
  <c r="AA37" i="4"/>
  <c r="AA49" i="4"/>
  <c r="AA61" i="4"/>
  <c r="AA66" i="4"/>
  <c r="AA78" i="4"/>
  <c r="AA139" i="4"/>
  <c r="AA155" i="4"/>
  <c r="AA177" i="4"/>
  <c r="AA191" i="4"/>
  <c r="AA199" i="4"/>
  <c r="AA207" i="4"/>
  <c r="AA307" i="4"/>
  <c r="AA312" i="4"/>
  <c r="AA341" i="4"/>
  <c r="AA352" i="4"/>
  <c r="AA382" i="4"/>
  <c r="AA420" i="4"/>
  <c r="AA434" i="4"/>
  <c r="AA450" i="4"/>
  <c r="AA461" i="4"/>
  <c r="AA527" i="4"/>
  <c r="AA544" i="4"/>
  <c r="AA44" i="4"/>
  <c r="AA54" i="4"/>
  <c r="AA343" i="4"/>
  <c r="AA193" i="4"/>
  <c r="AA212" i="4"/>
  <c r="AA245" i="4"/>
  <c r="AA264" i="4"/>
  <c r="AA275" i="4"/>
  <c r="AA283" i="4"/>
  <c r="AA326" i="4"/>
  <c r="AA367" i="4"/>
  <c r="AA383" i="4"/>
  <c r="AA48" i="4"/>
  <c r="AA102" i="4"/>
  <c r="AA105" i="4"/>
  <c r="AA150" i="4"/>
  <c r="AA153" i="4"/>
  <c r="AA195" i="4"/>
  <c r="AA209" i="4"/>
  <c r="AA228" i="4"/>
  <c r="AA261" i="4"/>
  <c r="AA280" i="4"/>
  <c r="AA331" i="4"/>
  <c r="AA342" i="4"/>
  <c r="AA80" i="4"/>
  <c r="AA116" i="4"/>
  <c r="AA164" i="4"/>
  <c r="AA233" i="4"/>
  <c r="E559" i="4"/>
  <c r="AA559" i="4" s="1"/>
  <c r="AA169" i="4"/>
  <c r="AA249" i="4"/>
  <c r="AA366" i="4"/>
  <c r="AA52" i="4"/>
  <c r="AA62" i="4"/>
  <c r="AA72" i="4"/>
  <c r="AA118" i="4"/>
  <c r="AA121" i="4"/>
  <c r="AA166" i="4"/>
  <c r="AA197" i="4"/>
  <c r="AA216" i="4"/>
  <c r="AA227" i="4"/>
  <c r="AA241" i="4"/>
  <c r="AA260" i="4"/>
  <c r="AA374" i="4"/>
  <c r="AA202" i="4"/>
  <c r="AA218" i="4"/>
  <c r="AA234" i="4"/>
  <c r="AA250" i="4"/>
  <c r="AA266" i="4"/>
  <c r="AA293" i="4"/>
  <c r="AA396" i="4"/>
  <c r="AA416" i="4"/>
  <c r="AA462" i="4"/>
  <c r="AA483" i="4"/>
  <c r="AA504" i="4"/>
  <c r="AA522" i="4"/>
  <c r="AA557" i="4"/>
  <c r="AA316" i="4"/>
  <c r="AA290" i="4"/>
  <c r="AA422" i="4"/>
  <c r="AA428" i="4"/>
  <c r="AA465" i="4"/>
  <c r="AA468" i="4"/>
  <c r="AA491" i="4"/>
  <c r="AA534" i="4"/>
  <c r="AA597" i="4"/>
  <c r="AA93" i="4"/>
  <c r="AA109" i="4"/>
  <c r="AA125" i="4"/>
  <c r="AA141" i="4"/>
  <c r="AA157" i="4"/>
  <c r="AA173" i="4"/>
  <c r="AA182" i="4"/>
  <c r="AA185" i="4"/>
  <c r="AA214" i="4"/>
  <c r="AA230" i="4"/>
  <c r="AA246" i="4"/>
  <c r="AA262" i="4"/>
  <c r="AA278" i="4"/>
  <c r="AA284" i="4"/>
  <c r="AA298" i="4"/>
  <c r="AA321" i="4"/>
  <c r="AA412" i="4"/>
  <c r="AA440" i="4"/>
  <c r="AA446" i="4"/>
  <c r="AA452" i="4"/>
  <c r="AA496" i="4"/>
  <c r="AA83" i="4"/>
  <c r="AA99" i="4"/>
  <c r="AA115" i="4"/>
  <c r="AA131" i="4"/>
  <c r="AA147" i="4"/>
  <c r="AA163" i="4"/>
  <c r="AA194" i="4"/>
  <c r="AA286" i="4"/>
  <c r="AA292" i="4"/>
  <c r="AA306" i="4"/>
  <c r="AA424" i="4"/>
  <c r="AA470" i="4"/>
  <c r="AA487" i="4"/>
  <c r="AA516" i="4"/>
  <c r="AA311" i="4"/>
  <c r="AA337" i="4"/>
  <c r="AA344" i="4"/>
  <c r="AA361" i="4"/>
  <c r="AA368" i="4"/>
  <c r="AA385" i="4"/>
  <c r="AA430" i="4"/>
  <c r="AA436" i="4"/>
  <c r="AA473" i="4"/>
  <c r="AA476" i="4"/>
  <c r="AA528" i="4"/>
  <c r="AA553" i="4"/>
  <c r="AA591" i="4"/>
  <c r="AA85" i="4"/>
  <c r="AA101" i="4"/>
  <c r="AA117" i="4"/>
  <c r="AA133" i="4"/>
  <c r="AA149" i="4"/>
  <c r="AA165" i="4"/>
  <c r="AA206" i="4"/>
  <c r="AA222" i="4"/>
  <c r="AA238" i="4"/>
  <c r="AA254" i="4"/>
  <c r="AA270" i="4"/>
  <c r="AA302" i="4"/>
  <c r="AA308" i="4"/>
  <c r="AA426" i="4"/>
  <c r="AA472" i="4"/>
  <c r="AA492" i="4"/>
  <c r="AA545" i="4"/>
  <c r="AA486" i="4"/>
  <c r="AA510" i="4"/>
  <c r="AA595" i="4"/>
  <c r="AA594" i="4"/>
  <c r="AA593" i="4"/>
  <c r="AA589" i="4"/>
  <c r="AA587" i="4"/>
  <c r="AA586" i="4"/>
  <c r="AA585" i="4"/>
  <c r="AA584" i="4"/>
  <c r="AA583" i="4"/>
  <c r="AA581" i="4"/>
  <c r="AA579" i="4"/>
  <c r="AA577" i="4"/>
  <c r="AA576" i="4"/>
  <c r="AA575" i="4"/>
  <c r="AA573" i="4"/>
  <c r="AA571" i="4"/>
  <c r="AA570" i="4"/>
  <c r="AA569" i="4"/>
  <c r="AA568" i="4"/>
  <c r="AA567" i="4"/>
  <c r="AA565" i="4"/>
  <c r="AA564" i="4"/>
  <c r="AA563" i="4"/>
  <c r="AA562" i="4"/>
  <c r="AA561" i="4"/>
  <c r="AA560" i="4"/>
  <c r="AA556" i="4"/>
  <c r="AA555" i="4"/>
  <c r="AA549" i="4"/>
  <c r="AA548" i="4"/>
  <c r="AA546" i="4"/>
  <c r="AA3" i="4"/>
  <c r="AA541" i="4"/>
  <c r="AA540" i="4"/>
  <c r="AA538" i="4"/>
  <c r="AA537" i="4"/>
  <c r="AA535" i="4"/>
  <c r="AA539" i="4"/>
  <c r="AA543" i="4"/>
  <c r="AA547" i="4"/>
  <c r="AA551" i="4"/>
  <c r="AA532" i="4"/>
  <c r="AA531" i="4"/>
  <c r="AA529" i="4"/>
  <c r="AA525" i="4"/>
  <c r="AA524" i="4"/>
  <c r="AA521" i="4"/>
  <c r="AA517" i="4"/>
  <c r="AA514" i="4"/>
  <c r="AA512" i="4"/>
  <c r="AA511" i="4"/>
  <c r="AA508" i="4"/>
  <c r="AA506" i="4"/>
  <c r="AA505" i="4"/>
  <c r="AA503" i="4"/>
  <c r="AA502" i="4"/>
  <c r="AA500" i="4"/>
  <c r="AA499" i="4"/>
  <c r="AA497" i="4"/>
  <c r="AA494" i="4"/>
  <c r="AA480" i="4"/>
  <c r="AA481" i="4"/>
  <c r="AA484" i="4"/>
  <c r="AA488" i="4"/>
  <c r="AA490" i="4"/>
  <c r="AA82" i="4"/>
  <c r="AA90" i="4"/>
  <c r="AA98" i="4"/>
  <c r="AA106" i="4"/>
  <c r="AA114" i="4"/>
  <c r="AA122" i="4"/>
  <c r="AA130" i="4"/>
  <c r="AA138" i="4"/>
  <c r="AA146" i="4"/>
  <c r="AA154" i="4"/>
  <c r="AA162" i="4"/>
  <c r="AA170" i="4"/>
  <c r="AA88" i="4"/>
  <c r="AA96" i="4"/>
  <c r="AA104" i="4"/>
  <c r="AA112" i="4"/>
  <c r="AA120" i="4"/>
  <c r="AA128" i="4"/>
  <c r="AA136" i="4"/>
  <c r="AA144" i="4"/>
  <c r="AA152" i="4"/>
  <c r="AA160" i="4"/>
  <c r="AA168" i="4"/>
  <c r="AA322" i="4"/>
  <c r="AA386" i="4"/>
  <c r="AA390" i="4"/>
  <c r="AA318" i="4"/>
  <c r="AA403" i="4"/>
  <c r="AA399" i="4"/>
  <c r="AA407" i="4"/>
  <c r="AA397" i="4"/>
  <c r="AA405" i="4"/>
  <c r="AA411" i="4"/>
  <c r="AA415" i="4"/>
  <c r="AA419" i="4"/>
  <c r="AA423" i="4"/>
  <c r="AA427" i="4"/>
  <c r="AA431" i="4"/>
  <c r="AA435" i="4"/>
  <c r="AA439" i="4"/>
  <c r="AA443" i="4"/>
  <c r="AA447" i="4"/>
  <c r="AA451" i="4"/>
  <c r="AA455" i="4"/>
  <c r="AA459" i="4"/>
  <c r="AA463" i="4"/>
  <c r="AA467" i="4"/>
  <c r="AA471" i="4"/>
  <c r="AA475" i="4"/>
  <c r="AA479" i="4"/>
  <c r="AA485" i="4"/>
  <c r="AA493" i="4"/>
  <c r="AA501" i="4"/>
  <c r="AA509" i="4"/>
  <c r="AA596" i="4"/>
  <c r="AA558" i="4"/>
  <c r="AA566" i="4"/>
  <c r="AA574" i="4"/>
  <c r="AA582" i="4"/>
  <c r="AA590" i="4"/>
  <c r="AA598" i="4"/>
</calcChain>
</file>

<file path=xl/sharedStrings.xml><?xml version="1.0" encoding="utf-8"?>
<sst xmlns="http://schemas.openxmlformats.org/spreadsheetml/2006/main" count="492" uniqueCount="88">
  <si>
    <t>BMI type</t>
  </si>
  <si>
    <t>Pre-pregnancy BW</t>
  </si>
  <si>
    <t>Pre-pregnancy BMI</t>
  </si>
  <si>
    <t>Total BW</t>
  </si>
  <si>
    <t>Total weight gain</t>
  </si>
  <si>
    <t>Underlying</t>
  </si>
  <si>
    <t>Previous macrosomia</t>
  </si>
  <si>
    <t>Prior caesean section</t>
  </si>
  <si>
    <t>P</t>
  </si>
  <si>
    <t>GDM</t>
  </si>
  <si>
    <t>PIH</t>
  </si>
  <si>
    <t>Route of delivery</t>
  </si>
  <si>
    <t>Perineal wound</t>
  </si>
  <si>
    <t>Dystocia</t>
  </si>
  <si>
    <t>BW</t>
  </si>
  <si>
    <t>Neonatal ward</t>
  </si>
  <si>
    <t>PPH</t>
  </si>
  <si>
    <t>PPH info</t>
  </si>
  <si>
    <t>Underlying info</t>
  </si>
  <si>
    <t>Age year</t>
  </si>
  <si>
    <t>Ceasarean section</t>
  </si>
  <si>
    <t>Indication</t>
  </si>
  <si>
    <t>Apgar</t>
  </si>
  <si>
    <t>EWG</t>
  </si>
  <si>
    <t>BW comparing  GA</t>
  </si>
  <si>
    <t>Macrosomia</t>
  </si>
  <si>
    <t>Asphyxia</t>
  </si>
  <si>
    <t>NICU admission</t>
  </si>
  <si>
    <t>GA week</t>
  </si>
  <si>
    <t>GA day</t>
  </si>
  <si>
    <t>Definite GA</t>
  </si>
  <si>
    <t>HT</t>
  </si>
  <si>
    <t>obesity</t>
  </si>
  <si>
    <t>fetal hypoxia</t>
  </si>
  <si>
    <t>prior C/S</t>
  </si>
  <si>
    <t>CPD</t>
  </si>
  <si>
    <t>breech</t>
  </si>
  <si>
    <t>gestational thrombocytopenia</t>
  </si>
  <si>
    <t>atony</t>
  </si>
  <si>
    <t>HIV</t>
  </si>
  <si>
    <t>retained piece of placenta</t>
  </si>
  <si>
    <t>chronic HBV</t>
  </si>
  <si>
    <t>placenta previa</t>
  </si>
  <si>
    <t>failed induct</t>
  </si>
  <si>
    <t>syphilis</t>
  </si>
  <si>
    <t>asthma</t>
  </si>
  <si>
    <t>Wart</t>
  </si>
  <si>
    <t>obesity, asthma</t>
  </si>
  <si>
    <t>Hashimoto</t>
  </si>
  <si>
    <t>distress</t>
  </si>
  <si>
    <t>macrosomia</t>
  </si>
  <si>
    <t>prolonged 2nd stage</t>
  </si>
  <si>
    <t>hyperthyroid</t>
  </si>
  <si>
    <t>elderly primigravid</t>
  </si>
  <si>
    <t>severe preeclampsia</t>
  </si>
  <si>
    <t>GHT with severe range HT</t>
  </si>
  <si>
    <t>amphetamine use</t>
  </si>
  <si>
    <t>thyroid nodule, obesity</t>
  </si>
  <si>
    <t>anhydramnios</t>
  </si>
  <si>
    <t>Panic disorder</t>
  </si>
  <si>
    <t>hypothyroidism</t>
  </si>
  <si>
    <t>PVC, RBBB</t>
  </si>
  <si>
    <t>poor maternal power</t>
  </si>
  <si>
    <t>atony, tear</t>
  </si>
  <si>
    <t>retained placenta</t>
  </si>
  <si>
    <t>obesity, amphetamine use, syphilis</t>
  </si>
  <si>
    <t>SLE</t>
  </si>
  <si>
    <t>old CVA</t>
  </si>
  <si>
    <t>Graves disease</t>
  </si>
  <si>
    <t>tear</t>
  </si>
  <si>
    <t>obesity, hyperthyroidism</t>
  </si>
  <si>
    <t>obesity, chronic HBV</t>
  </si>
  <si>
    <t>obesity, hypothyroid</t>
  </si>
  <si>
    <t>obesity, Panic, depression, syphilis</t>
  </si>
  <si>
    <t>amaurosis fugax</t>
  </si>
  <si>
    <t>oligohydramnios</t>
  </si>
  <si>
    <t>SVT</t>
  </si>
  <si>
    <t>Obesity</t>
  </si>
  <si>
    <t>COVID-19</t>
  </si>
  <si>
    <t>obesity, COVID-19</t>
  </si>
  <si>
    <t>psychological disorder</t>
  </si>
  <si>
    <t>psychological disorder, amphetamine use, obesity</t>
  </si>
  <si>
    <t>SLE, syphilis</t>
  </si>
  <si>
    <t>Prior C/S</t>
  </si>
  <si>
    <t>obesity, syphilis</t>
  </si>
  <si>
    <t>SLE, AIHA</t>
  </si>
  <si>
    <t>thyroid, autoimmune</t>
  </si>
  <si>
    <t>leukemia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</si>
</sst>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4" borderId="0" xfId="0" applyFont="1" applyFill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0" borderId="0" xfId="0" applyFont="1"/>
    <xf numFmtId="0" fontId="1" fillId="5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AD87-1333-464C-B289-829E434A65FA}">
  <dimension ref="A1:AF598"/>
  <sheetViews>
    <sheetView tabSelected="1" workbookViewId="0">
      <pane ySplit="1" topLeftCell="A576" activePane="bottomLeft" state="frozen"/>
      <selection pane="bottomLeft" activeCell="A599" sqref="A599:XFD601"/>
    </sheetView>
  </sheetViews>
  <sheetFormatPr defaultRowHeight="14.4" x14ac:dyDescent="0.3"/>
  <cols>
    <col min="1" max="1" width="11.44140625" customWidth="1"/>
    <col min="2" max="2" width="18.109375" customWidth="1"/>
    <col min="3" max="3" width="9.33203125" customWidth="1"/>
    <col min="4" max="4" width="18.109375" customWidth="1"/>
    <col min="5" max="5" width="9.6640625" customWidth="1"/>
    <col min="6" max="6" width="10.6640625" customWidth="1"/>
    <col min="7" max="7" width="18.6640625" customWidth="1"/>
    <col min="8" max="8" width="11.6640625" customWidth="1"/>
    <col min="9" max="9" width="31" customWidth="1"/>
    <col min="10" max="10" width="20.109375" customWidth="1"/>
    <col min="11" max="11" width="20" customWidth="1"/>
    <col min="12" max="12" width="7.109375" customWidth="1"/>
    <col min="13" max="14" width="10" customWidth="1"/>
    <col min="15" max="15" width="15.33203125" customWidth="1"/>
    <col min="18" max="18" width="16.44140625" customWidth="1"/>
    <col min="19" max="19" width="15.109375" customWidth="1"/>
    <col min="20" max="20" width="15.6640625" customWidth="1"/>
    <col min="24" max="24" width="16.5546875" customWidth="1"/>
    <col min="25" max="25" width="9.33203125" customWidth="1"/>
    <col min="26" max="26" width="15.33203125" customWidth="1"/>
    <col min="27" max="27" width="8.33203125" customWidth="1"/>
    <col min="28" max="28" width="18.88671875" customWidth="1"/>
    <col min="29" max="29" width="12.88671875" customWidth="1"/>
    <col min="31" max="31" width="16.5546875" customWidth="1"/>
    <col min="32" max="32" width="15.44140625" customWidth="1"/>
  </cols>
  <sheetData>
    <row r="1" spans="1:32" x14ac:dyDescent="0.3">
      <c r="A1" s="1" t="s">
        <v>19</v>
      </c>
      <c r="B1" s="1" t="s">
        <v>1</v>
      </c>
      <c r="C1" s="1" t="s">
        <v>31</v>
      </c>
      <c r="D1" s="3" t="s">
        <v>2</v>
      </c>
      <c r="E1" s="3" t="s">
        <v>0</v>
      </c>
      <c r="F1" s="1" t="s">
        <v>3</v>
      </c>
      <c r="G1" s="3" t="s">
        <v>4</v>
      </c>
      <c r="H1" s="1" t="s">
        <v>5</v>
      </c>
      <c r="I1" s="1" t="s">
        <v>18</v>
      </c>
      <c r="J1" s="1" t="s">
        <v>6</v>
      </c>
      <c r="K1" s="1" t="s">
        <v>7</v>
      </c>
      <c r="L1" s="1" t="s">
        <v>8</v>
      </c>
      <c r="M1" s="1" t="s">
        <v>28</v>
      </c>
      <c r="N1" s="1" t="s">
        <v>29</v>
      </c>
      <c r="O1" s="7" t="s">
        <v>30</v>
      </c>
      <c r="P1" s="1" t="s">
        <v>9</v>
      </c>
      <c r="Q1" s="1" t="s">
        <v>10</v>
      </c>
      <c r="R1" s="6" t="s">
        <v>11</v>
      </c>
      <c r="S1" s="1" t="s">
        <v>21</v>
      </c>
      <c r="T1" s="2" t="s">
        <v>12</v>
      </c>
      <c r="U1" s="2" t="s">
        <v>13</v>
      </c>
      <c r="V1" s="1" t="s">
        <v>14</v>
      </c>
      <c r="W1" s="1" t="s">
        <v>22</v>
      </c>
      <c r="X1" s="6" t="s">
        <v>15</v>
      </c>
      <c r="Y1" s="2" t="s">
        <v>16</v>
      </c>
      <c r="Z1" s="1" t="s">
        <v>17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20</v>
      </c>
      <c r="AF1" s="5" t="s">
        <v>27</v>
      </c>
    </row>
    <row r="2" spans="1:32" s="8" customFormat="1" x14ac:dyDescent="0.3">
      <c r="A2" s="8">
        <v>15</v>
      </c>
      <c r="B2" s="8">
        <v>40</v>
      </c>
      <c r="C2" s="8">
        <v>155</v>
      </c>
      <c r="D2" s="8">
        <f>B2/((C2/100)^2)</f>
        <v>16.649323621227886</v>
      </c>
      <c r="E2" s="8">
        <f>IF(D2&lt;18.5,0,IF(D2&lt;23,1,IF(D2&lt;25,2,3)))</f>
        <v>0</v>
      </c>
      <c r="F2" s="8">
        <v>49</v>
      </c>
      <c r="G2" s="8">
        <f>F2-B2</f>
        <v>9</v>
      </c>
      <c r="H2" s="8">
        <v>0</v>
      </c>
      <c r="J2" s="8">
        <v>0</v>
      </c>
      <c r="K2" s="8">
        <v>0</v>
      </c>
      <c r="L2" s="8">
        <v>0</v>
      </c>
      <c r="M2" s="8">
        <v>37</v>
      </c>
      <c r="N2" s="8">
        <v>4</v>
      </c>
      <c r="O2" s="8">
        <f>M2+(N2/7)</f>
        <v>37.571428571428569</v>
      </c>
      <c r="P2" s="8">
        <v>0</v>
      </c>
      <c r="Q2" s="8">
        <v>0</v>
      </c>
      <c r="R2" s="8">
        <v>0</v>
      </c>
      <c r="T2" s="8">
        <v>0</v>
      </c>
      <c r="U2" s="8">
        <v>0</v>
      </c>
      <c r="V2" s="8">
        <v>2680</v>
      </c>
      <c r="W2" s="8">
        <v>9</v>
      </c>
      <c r="X2" s="8">
        <v>1</v>
      </c>
      <c r="Y2" s="8">
        <v>0</v>
      </c>
      <c r="AA2" s="8">
        <f>IF(OR(AND(E2=0,G2&gt;18.2),AND(E2=1,G2&gt;15.9),AND(E2=2,G2&gt;11.3),AND(E2=3,G2&gt;9.1)),1,0)</f>
        <v>0</v>
      </c>
      <c r="AB2" t="str">
        <f t="shared" ref="AB2:AB67" si="0">IF(OR(AND(O2&lt;38,V2&gt;3324),AND(O2&lt;39,V2&gt;3540),AND(O2&lt;40,V2&gt;3726),AND(O2&lt;42,V2&gt;3871)),"2",IF(OR(AND(O2&gt;36.9,V2&lt;2323),AND(O2&gt;37.9,V2&lt;2496),AND(O2&gt;38.9,V2&lt;2658),AND(O2&gt;39.9,V2&lt;2805)),"1","0"))</f>
        <v>0</v>
      </c>
      <c r="AC2" s="8">
        <f>IF(V2&lt;4000,0,1)</f>
        <v>0</v>
      </c>
      <c r="AD2" s="8">
        <f>IF(W2&gt;7,0,1)</f>
        <v>0</v>
      </c>
      <c r="AE2" s="8">
        <f>IF(R2=3,1,0)</f>
        <v>0</v>
      </c>
      <c r="AF2" s="8">
        <f>IF(X2=2,1,0)</f>
        <v>0</v>
      </c>
    </row>
    <row r="3" spans="1:32" s="8" customFormat="1" x14ac:dyDescent="0.3">
      <c r="A3" s="8">
        <v>24</v>
      </c>
      <c r="B3" s="8">
        <v>49</v>
      </c>
      <c r="C3" s="8">
        <v>160</v>
      </c>
      <c r="D3" s="8">
        <f>B3/((C3/100)^2)</f>
        <v>19.140624999999996</v>
      </c>
      <c r="E3" s="8">
        <f>IF(D3&lt;18.5,0,IF(D3&lt;23,1,IF(D3&lt;25,2,3)))</f>
        <v>1</v>
      </c>
      <c r="F3" s="8">
        <v>67</v>
      </c>
      <c r="G3" s="8">
        <f>F3-B3</f>
        <v>18</v>
      </c>
      <c r="H3" s="8">
        <v>0</v>
      </c>
      <c r="J3" s="8">
        <v>0</v>
      </c>
      <c r="K3" s="8">
        <v>0</v>
      </c>
      <c r="L3" s="8">
        <v>0</v>
      </c>
      <c r="M3" s="8">
        <v>39</v>
      </c>
      <c r="N3" s="8">
        <v>4</v>
      </c>
      <c r="O3" s="8">
        <f>M3+(N3/7)</f>
        <v>39.571428571428569</v>
      </c>
      <c r="P3" s="8">
        <v>0</v>
      </c>
      <c r="Q3" s="8">
        <v>0</v>
      </c>
      <c r="R3" s="8">
        <v>0</v>
      </c>
      <c r="T3" s="8">
        <v>0</v>
      </c>
      <c r="U3" s="8">
        <v>0</v>
      </c>
      <c r="V3" s="8">
        <v>3420</v>
      </c>
      <c r="W3" s="8">
        <v>9</v>
      </c>
      <c r="X3" s="8">
        <v>0</v>
      </c>
      <c r="Y3" s="8">
        <v>0</v>
      </c>
      <c r="AA3" s="8">
        <f>IF(OR(AND(E3=0,G3&gt;18.2),AND(E3=1,G3&gt;15.9),AND(E3=2,G3&gt;11.3),AND(E3=3,G3&gt;9.1)),1,0)</f>
        <v>1</v>
      </c>
      <c r="AB3" t="str">
        <f t="shared" si="0"/>
        <v>0</v>
      </c>
      <c r="AC3" s="8">
        <f>IF(V3&lt;4000,0,1)</f>
        <v>0</v>
      </c>
      <c r="AD3" s="8">
        <f>IF(W3&gt;7,0,1)</f>
        <v>0</v>
      </c>
      <c r="AE3" s="8">
        <f>IF(R3=3,1,0)</f>
        <v>0</v>
      </c>
      <c r="AF3" s="8">
        <f>IF(X3=2,1,0)</f>
        <v>0</v>
      </c>
    </row>
    <row r="4" spans="1:32" x14ac:dyDescent="0.3">
      <c r="A4">
        <v>38</v>
      </c>
      <c r="B4">
        <v>59</v>
      </c>
      <c r="C4">
        <v>150</v>
      </c>
      <c r="D4">
        <f t="shared" ref="D4:D67" si="1">B4/((C4/100)^2)</f>
        <v>26.222222222222221</v>
      </c>
      <c r="E4">
        <f t="shared" ref="E4:E67" si="2">IF(D4&lt;18.5,0,IF(D4&lt;23,1,IF(D4&lt;25,2,3)))</f>
        <v>3</v>
      </c>
      <c r="F4">
        <v>79</v>
      </c>
      <c r="G4">
        <f t="shared" ref="G4:G67" si="3">F4-B4</f>
        <v>20</v>
      </c>
      <c r="H4">
        <v>1</v>
      </c>
      <c r="I4" t="s">
        <v>32</v>
      </c>
      <c r="J4">
        <v>0</v>
      </c>
      <c r="K4">
        <v>0</v>
      </c>
      <c r="L4">
        <v>2</v>
      </c>
      <c r="M4">
        <v>37</v>
      </c>
      <c r="N4">
        <v>3</v>
      </c>
      <c r="O4">
        <f t="shared" ref="O4:O67" si="4">M4+(N4/7)</f>
        <v>37.428571428571431</v>
      </c>
      <c r="P4">
        <v>0</v>
      </c>
      <c r="Q4">
        <v>0</v>
      </c>
      <c r="R4">
        <v>0</v>
      </c>
      <c r="T4">
        <v>2</v>
      </c>
      <c r="U4">
        <v>0</v>
      </c>
      <c r="V4">
        <v>3160</v>
      </c>
      <c r="W4">
        <v>8</v>
      </c>
      <c r="X4">
        <v>1</v>
      </c>
      <c r="Y4">
        <v>0</v>
      </c>
      <c r="AA4">
        <f t="shared" ref="AA4:AA67" si="5">IF(OR(AND(E4=0,G4&gt;18.2),AND(E4=1,G4&gt;15.9),AND(E4=2,G4&gt;11.3),AND(E4=3,G4&gt;9.1)),1,0)</f>
        <v>1</v>
      </c>
      <c r="AB4" t="str">
        <f t="shared" si="0"/>
        <v>0</v>
      </c>
      <c r="AC4">
        <f t="shared" ref="AC4:AC67" si="6">IF(V4&lt;4000,0,1)</f>
        <v>0</v>
      </c>
      <c r="AD4">
        <f t="shared" ref="AD4:AD67" si="7">IF(W4&gt;7,0,1)</f>
        <v>0</v>
      </c>
      <c r="AE4">
        <f t="shared" ref="AE4:AE67" si="8">IF(R4=3,1,0)</f>
        <v>0</v>
      </c>
      <c r="AF4">
        <f t="shared" ref="AF4:AF67" si="9">IF(X4=2,1,0)</f>
        <v>0</v>
      </c>
    </row>
    <row r="5" spans="1:32" x14ac:dyDescent="0.3">
      <c r="A5">
        <v>18</v>
      </c>
      <c r="B5">
        <v>63</v>
      </c>
      <c r="C5">
        <v>154</v>
      </c>
      <c r="D5">
        <f t="shared" si="1"/>
        <v>26.564344746162927</v>
      </c>
      <c r="E5">
        <f t="shared" si="2"/>
        <v>3</v>
      </c>
      <c r="F5">
        <v>75</v>
      </c>
      <c r="G5">
        <f t="shared" si="3"/>
        <v>12</v>
      </c>
      <c r="H5">
        <v>1</v>
      </c>
      <c r="I5" t="s">
        <v>32</v>
      </c>
      <c r="J5">
        <v>0</v>
      </c>
      <c r="K5">
        <v>0</v>
      </c>
      <c r="L5">
        <v>0</v>
      </c>
      <c r="M5">
        <v>38</v>
      </c>
      <c r="N5">
        <v>0</v>
      </c>
      <c r="O5">
        <f t="shared" si="4"/>
        <v>38</v>
      </c>
      <c r="P5">
        <v>0</v>
      </c>
      <c r="Q5">
        <v>0</v>
      </c>
      <c r="R5">
        <v>0</v>
      </c>
      <c r="T5">
        <v>0</v>
      </c>
      <c r="U5">
        <v>0</v>
      </c>
      <c r="V5">
        <v>3180</v>
      </c>
      <c r="W5">
        <v>10</v>
      </c>
      <c r="X5">
        <v>0</v>
      </c>
      <c r="Y5">
        <v>0</v>
      </c>
      <c r="AA5">
        <f t="shared" si="5"/>
        <v>1</v>
      </c>
      <c r="AB5" t="str">
        <f t="shared" si="0"/>
        <v>0</v>
      </c>
      <c r="AC5">
        <f t="shared" si="6"/>
        <v>0</v>
      </c>
      <c r="AD5">
        <f t="shared" si="7"/>
        <v>0</v>
      </c>
      <c r="AE5">
        <f t="shared" si="8"/>
        <v>0</v>
      </c>
      <c r="AF5">
        <f t="shared" si="9"/>
        <v>0</v>
      </c>
    </row>
    <row r="6" spans="1:32" x14ac:dyDescent="0.3">
      <c r="A6">
        <v>35</v>
      </c>
      <c r="B6">
        <v>48</v>
      </c>
      <c r="C6">
        <v>155</v>
      </c>
      <c r="D6">
        <f t="shared" si="1"/>
        <v>19.979188345473464</v>
      </c>
      <c r="E6">
        <f t="shared" si="2"/>
        <v>1</v>
      </c>
      <c r="F6">
        <v>60</v>
      </c>
      <c r="G6">
        <f t="shared" si="3"/>
        <v>12</v>
      </c>
      <c r="H6">
        <v>0</v>
      </c>
      <c r="J6">
        <v>0</v>
      </c>
      <c r="K6">
        <v>0</v>
      </c>
      <c r="L6">
        <v>0</v>
      </c>
      <c r="M6">
        <v>38</v>
      </c>
      <c r="N6">
        <v>5</v>
      </c>
      <c r="O6">
        <f t="shared" si="4"/>
        <v>38.714285714285715</v>
      </c>
      <c r="P6">
        <v>0</v>
      </c>
      <c r="Q6">
        <v>0</v>
      </c>
      <c r="R6">
        <v>0</v>
      </c>
      <c r="T6">
        <v>0</v>
      </c>
      <c r="U6">
        <v>0</v>
      </c>
      <c r="V6">
        <v>2750</v>
      </c>
      <c r="W6">
        <v>9</v>
      </c>
      <c r="X6">
        <v>0</v>
      </c>
      <c r="Y6">
        <v>0</v>
      </c>
      <c r="AA6">
        <f t="shared" si="5"/>
        <v>0</v>
      </c>
      <c r="AB6" t="str">
        <f t="shared" si="0"/>
        <v>0</v>
      </c>
      <c r="AC6">
        <f t="shared" si="6"/>
        <v>0</v>
      </c>
      <c r="AD6">
        <f t="shared" si="7"/>
        <v>0</v>
      </c>
      <c r="AE6">
        <f t="shared" si="8"/>
        <v>0</v>
      </c>
      <c r="AF6">
        <f t="shared" si="9"/>
        <v>0</v>
      </c>
    </row>
    <row r="7" spans="1:32" x14ac:dyDescent="0.3">
      <c r="A7">
        <v>21</v>
      </c>
      <c r="B7">
        <v>40</v>
      </c>
      <c r="C7">
        <v>150</v>
      </c>
      <c r="D7">
        <f t="shared" si="1"/>
        <v>17.777777777777779</v>
      </c>
      <c r="E7">
        <f t="shared" si="2"/>
        <v>0</v>
      </c>
      <c r="F7">
        <v>49</v>
      </c>
      <c r="G7">
        <f t="shared" si="3"/>
        <v>9</v>
      </c>
      <c r="H7">
        <v>0</v>
      </c>
      <c r="J7">
        <v>0</v>
      </c>
      <c r="K7">
        <v>0</v>
      </c>
      <c r="L7">
        <v>0</v>
      </c>
      <c r="M7">
        <v>38</v>
      </c>
      <c r="N7">
        <v>4</v>
      </c>
      <c r="O7">
        <f t="shared" si="4"/>
        <v>38.571428571428569</v>
      </c>
      <c r="P7">
        <v>0</v>
      </c>
      <c r="Q7">
        <v>0</v>
      </c>
      <c r="R7">
        <v>0</v>
      </c>
      <c r="T7">
        <v>0</v>
      </c>
      <c r="U7">
        <v>0</v>
      </c>
      <c r="V7">
        <v>2480</v>
      </c>
      <c r="W7">
        <v>9</v>
      </c>
      <c r="X7">
        <v>1</v>
      </c>
      <c r="Y7">
        <v>0</v>
      </c>
      <c r="AA7">
        <f t="shared" si="5"/>
        <v>0</v>
      </c>
      <c r="AB7" t="str">
        <f t="shared" si="0"/>
        <v>1</v>
      </c>
      <c r="AC7">
        <f t="shared" si="6"/>
        <v>0</v>
      </c>
      <c r="AD7">
        <f t="shared" si="7"/>
        <v>0</v>
      </c>
      <c r="AE7">
        <f t="shared" si="8"/>
        <v>0</v>
      </c>
      <c r="AF7">
        <f t="shared" si="9"/>
        <v>0</v>
      </c>
    </row>
    <row r="8" spans="1:32" x14ac:dyDescent="0.3">
      <c r="A8">
        <v>20</v>
      </c>
      <c r="B8">
        <v>45</v>
      </c>
      <c r="C8">
        <v>158</v>
      </c>
      <c r="D8">
        <f t="shared" si="1"/>
        <v>18.025957378625218</v>
      </c>
      <c r="E8">
        <f t="shared" si="2"/>
        <v>0</v>
      </c>
      <c r="F8">
        <v>59</v>
      </c>
      <c r="G8">
        <f t="shared" si="3"/>
        <v>14</v>
      </c>
      <c r="H8">
        <v>0</v>
      </c>
      <c r="J8">
        <v>0</v>
      </c>
      <c r="K8">
        <v>0</v>
      </c>
      <c r="L8">
        <v>0</v>
      </c>
      <c r="M8">
        <v>40</v>
      </c>
      <c r="N8">
        <v>3</v>
      </c>
      <c r="O8">
        <f t="shared" si="4"/>
        <v>40.428571428571431</v>
      </c>
      <c r="P8">
        <v>0</v>
      </c>
      <c r="Q8">
        <v>0</v>
      </c>
      <c r="R8">
        <v>0</v>
      </c>
      <c r="T8">
        <v>0</v>
      </c>
      <c r="U8">
        <v>0</v>
      </c>
      <c r="V8">
        <v>3450</v>
      </c>
      <c r="W8">
        <v>8</v>
      </c>
      <c r="X8">
        <v>0</v>
      </c>
      <c r="Y8">
        <v>0</v>
      </c>
      <c r="AA8">
        <f t="shared" si="5"/>
        <v>0</v>
      </c>
      <c r="AB8" t="str">
        <f t="shared" si="0"/>
        <v>0</v>
      </c>
      <c r="AC8">
        <f t="shared" si="6"/>
        <v>0</v>
      </c>
      <c r="AD8">
        <f t="shared" si="7"/>
        <v>0</v>
      </c>
      <c r="AE8">
        <f t="shared" si="8"/>
        <v>0</v>
      </c>
      <c r="AF8">
        <f t="shared" si="9"/>
        <v>0</v>
      </c>
    </row>
    <row r="9" spans="1:32" x14ac:dyDescent="0.3">
      <c r="A9">
        <v>23</v>
      </c>
      <c r="B9">
        <v>85</v>
      </c>
      <c r="C9">
        <v>167</v>
      </c>
      <c r="D9">
        <f t="shared" si="1"/>
        <v>30.477966223242138</v>
      </c>
      <c r="E9">
        <f t="shared" si="2"/>
        <v>3</v>
      </c>
      <c r="F9">
        <v>101</v>
      </c>
      <c r="G9">
        <f t="shared" si="3"/>
        <v>16</v>
      </c>
      <c r="H9">
        <v>1</v>
      </c>
      <c r="I9" t="s">
        <v>32</v>
      </c>
      <c r="J9">
        <v>0</v>
      </c>
      <c r="K9">
        <v>0</v>
      </c>
      <c r="L9">
        <v>0</v>
      </c>
      <c r="M9">
        <v>38</v>
      </c>
      <c r="N9">
        <v>5</v>
      </c>
      <c r="O9">
        <f t="shared" si="4"/>
        <v>38.714285714285715</v>
      </c>
      <c r="P9">
        <v>0</v>
      </c>
      <c r="Q9">
        <v>0</v>
      </c>
      <c r="R9">
        <v>0</v>
      </c>
      <c r="T9">
        <v>0</v>
      </c>
      <c r="U9">
        <v>0</v>
      </c>
      <c r="V9">
        <v>3550</v>
      </c>
      <c r="W9">
        <v>9</v>
      </c>
      <c r="X9">
        <v>1</v>
      </c>
      <c r="Y9">
        <v>0</v>
      </c>
      <c r="AA9">
        <f t="shared" si="5"/>
        <v>1</v>
      </c>
      <c r="AB9" t="str">
        <f t="shared" si="0"/>
        <v>2</v>
      </c>
      <c r="AC9">
        <f t="shared" si="6"/>
        <v>0</v>
      </c>
      <c r="AD9">
        <f t="shared" si="7"/>
        <v>0</v>
      </c>
      <c r="AE9">
        <f t="shared" si="8"/>
        <v>0</v>
      </c>
      <c r="AF9">
        <f t="shared" si="9"/>
        <v>0</v>
      </c>
    </row>
    <row r="10" spans="1:32" x14ac:dyDescent="0.3">
      <c r="A10">
        <v>24</v>
      </c>
      <c r="B10">
        <v>38</v>
      </c>
      <c r="C10">
        <v>158</v>
      </c>
      <c r="D10">
        <f t="shared" si="1"/>
        <v>15.221919564172406</v>
      </c>
      <c r="E10">
        <f t="shared" si="2"/>
        <v>0</v>
      </c>
      <c r="F10">
        <v>50</v>
      </c>
      <c r="G10">
        <f t="shared" si="3"/>
        <v>12</v>
      </c>
      <c r="H10">
        <v>0</v>
      </c>
      <c r="J10">
        <v>0</v>
      </c>
      <c r="K10">
        <v>0</v>
      </c>
      <c r="L10">
        <v>0</v>
      </c>
      <c r="M10">
        <v>39</v>
      </c>
      <c r="N10">
        <v>5</v>
      </c>
      <c r="O10">
        <f t="shared" si="4"/>
        <v>39.714285714285715</v>
      </c>
      <c r="P10">
        <v>0</v>
      </c>
      <c r="Q10">
        <v>0</v>
      </c>
      <c r="R10">
        <v>2</v>
      </c>
      <c r="S10" t="s">
        <v>33</v>
      </c>
      <c r="T10">
        <v>0</v>
      </c>
      <c r="U10">
        <v>0</v>
      </c>
      <c r="V10">
        <v>2955</v>
      </c>
      <c r="W10">
        <v>2</v>
      </c>
      <c r="X10">
        <v>2</v>
      </c>
      <c r="Y10">
        <v>0</v>
      </c>
      <c r="AA10">
        <f t="shared" si="5"/>
        <v>0</v>
      </c>
      <c r="AB10" t="str">
        <f t="shared" si="0"/>
        <v>0</v>
      </c>
      <c r="AC10">
        <f t="shared" si="6"/>
        <v>0</v>
      </c>
      <c r="AD10">
        <f t="shared" si="7"/>
        <v>1</v>
      </c>
      <c r="AE10">
        <f t="shared" si="8"/>
        <v>0</v>
      </c>
      <c r="AF10">
        <f t="shared" si="9"/>
        <v>1</v>
      </c>
    </row>
    <row r="11" spans="1:32" x14ac:dyDescent="0.3">
      <c r="A11">
        <v>31</v>
      </c>
      <c r="B11">
        <v>77</v>
      </c>
      <c r="C11">
        <v>152</v>
      </c>
      <c r="D11">
        <f t="shared" si="1"/>
        <v>33.327562326869803</v>
      </c>
      <c r="E11">
        <f t="shared" si="2"/>
        <v>3</v>
      </c>
      <c r="F11">
        <v>93</v>
      </c>
      <c r="G11">
        <f t="shared" si="3"/>
        <v>16</v>
      </c>
      <c r="H11">
        <v>1</v>
      </c>
      <c r="I11" t="s">
        <v>32</v>
      </c>
      <c r="J11">
        <v>0</v>
      </c>
      <c r="K11">
        <v>1</v>
      </c>
      <c r="L11">
        <v>2</v>
      </c>
      <c r="M11">
        <v>38</v>
      </c>
      <c r="N11">
        <v>5</v>
      </c>
      <c r="O11">
        <f t="shared" si="4"/>
        <v>38.714285714285715</v>
      </c>
      <c r="P11">
        <v>1</v>
      </c>
      <c r="Q11">
        <v>0</v>
      </c>
      <c r="R11">
        <v>3</v>
      </c>
      <c r="S11" t="s">
        <v>34</v>
      </c>
      <c r="T11">
        <v>0</v>
      </c>
      <c r="U11">
        <v>0</v>
      </c>
      <c r="V11">
        <v>3590</v>
      </c>
      <c r="W11">
        <v>9</v>
      </c>
      <c r="X11">
        <v>1</v>
      </c>
      <c r="Y11">
        <v>0</v>
      </c>
      <c r="AA11">
        <f t="shared" si="5"/>
        <v>1</v>
      </c>
      <c r="AB11" t="str">
        <f t="shared" si="0"/>
        <v>2</v>
      </c>
      <c r="AC11">
        <f t="shared" si="6"/>
        <v>0</v>
      </c>
      <c r="AD11">
        <f t="shared" si="7"/>
        <v>0</v>
      </c>
      <c r="AE11">
        <f t="shared" si="8"/>
        <v>1</v>
      </c>
      <c r="AF11">
        <f t="shared" si="9"/>
        <v>0</v>
      </c>
    </row>
    <row r="12" spans="1:32" x14ac:dyDescent="0.3">
      <c r="A12">
        <v>17</v>
      </c>
      <c r="B12">
        <v>70</v>
      </c>
      <c r="C12">
        <v>155</v>
      </c>
      <c r="D12">
        <f t="shared" si="1"/>
        <v>29.136316337148799</v>
      </c>
      <c r="E12">
        <f t="shared" si="2"/>
        <v>3</v>
      </c>
      <c r="F12">
        <v>89</v>
      </c>
      <c r="G12">
        <f t="shared" si="3"/>
        <v>19</v>
      </c>
      <c r="H12">
        <v>1</v>
      </c>
      <c r="I12" t="s">
        <v>32</v>
      </c>
      <c r="J12">
        <v>0</v>
      </c>
      <c r="K12">
        <v>0</v>
      </c>
      <c r="L12">
        <v>0</v>
      </c>
      <c r="M12">
        <v>40</v>
      </c>
      <c r="N12">
        <v>3</v>
      </c>
      <c r="O12">
        <f t="shared" si="4"/>
        <v>40.428571428571431</v>
      </c>
      <c r="P12">
        <v>0</v>
      </c>
      <c r="Q12">
        <v>0</v>
      </c>
      <c r="R12">
        <v>3</v>
      </c>
      <c r="S12" t="s">
        <v>35</v>
      </c>
      <c r="T12">
        <v>0</v>
      </c>
      <c r="U12">
        <v>0</v>
      </c>
      <c r="V12">
        <v>3420</v>
      </c>
      <c r="W12">
        <v>9</v>
      </c>
      <c r="X12">
        <v>1</v>
      </c>
      <c r="Y12">
        <v>0</v>
      </c>
      <c r="AA12">
        <f t="shared" si="5"/>
        <v>1</v>
      </c>
      <c r="AB12" t="str">
        <f t="shared" si="0"/>
        <v>0</v>
      </c>
      <c r="AC12">
        <f t="shared" si="6"/>
        <v>0</v>
      </c>
      <c r="AD12">
        <f t="shared" si="7"/>
        <v>0</v>
      </c>
      <c r="AE12">
        <f t="shared" si="8"/>
        <v>1</v>
      </c>
      <c r="AF12">
        <f t="shared" si="9"/>
        <v>0</v>
      </c>
    </row>
    <row r="13" spans="1:32" x14ac:dyDescent="0.3">
      <c r="A13">
        <v>33</v>
      </c>
      <c r="B13">
        <v>62</v>
      </c>
      <c r="C13">
        <v>168</v>
      </c>
      <c r="D13">
        <f t="shared" si="1"/>
        <v>21.9671201814059</v>
      </c>
      <c r="E13">
        <f t="shared" si="2"/>
        <v>1</v>
      </c>
      <c r="F13">
        <v>76</v>
      </c>
      <c r="G13">
        <f t="shared" si="3"/>
        <v>14</v>
      </c>
      <c r="H13">
        <v>0</v>
      </c>
      <c r="J13">
        <v>0</v>
      </c>
      <c r="K13">
        <v>1</v>
      </c>
      <c r="L13">
        <v>1</v>
      </c>
      <c r="M13">
        <v>37</v>
      </c>
      <c r="N13">
        <v>1</v>
      </c>
      <c r="O13">
        <f t="shared" si="4"/>
        <v>37.142857142857146</v>
      </c>
      <c r="P13">
        <v>0</v>
      </c>
      <c r="Q13">
        <v>0</v>
      </c>
      <c r="R13">
        <v>3</v>
      </c>
      <c r="S13" t="s">
        <v>34</v>
      </c>
      <c r="T13">
        <v>0</v>
      </c>
      <c r="U13">
        <v>0</v>
      </c>
      <c r="V13">
        <v>3050</v>
      </c>
      <c r="W13">
        <v>9</v>
      </c>
      <c r="X13">
        <v>1</v>
      </c>
      <c r="Y13">
        <v>0</v>
      </c>
      <c r="AA13">
        <f t="shared" si="5"/>
        <v>0</v>
      </c>
      <c r="AB13" t="str">
        <f t="shared" si="0"/>
        <v>0</v>
      </c>
      <c r="AC13">
        <f t="shared" si="6"/>
        <v>0</v>
      </c>
      <c r="AD13">
        <f t="shared" si="7"/>
        <v>0</v>
      </c>
      <c r="AE13">
        <f t="shared" si="8"/>
        <v>1</v>
      </c>
      <c r="AF13">
        <f t="shared" si="9"/>
        <v>0</v>
      </c>
    </row>
    <row r="14" spans="1:32" x14ac:dyDescent="0.3">
      <c r="A14">
        <v>31</v>
      </c>
      <c r="B14">
        <v>50</v>
      </c>
      <c r="C14">
        <v>154</v>
      </c>
      <c r="D14">
        <f t="shared" si="1"/>
        <v>21.0828132906055</v>
      </c>
      <c r="E14">
        <f t="shared" si="2"/>
        <v>1</v>
      </c>
      <c r="F14">
        <v>63</v>
      </c>
      <c r="G14">
        <f t="shared" si="3"/>
        <v>13</v>
      </c>
      <c r="H14">
        <v>0</v>
      </c>
      <c r="J14">
        <v>0</v>
      </c>
      <c r="K14">
        <v>0</v>
      </c>
      <c r="L14">
        <v>2</v>
      </c>
      <c r="M14">
        <v>38</v>
      </c>
      <c r="N14">
        <v>1</v>
      </c>
      <c r="O14">
        <f t="shared" si="4"/>
        <v>38.142857142857146</v>
      </c>
      <c r="P14">
        <v>0</v>
      </c>
      <c r="Q14">
        <v>0</v>
      </c>
      <c r="R14">
        <v>0</v>
      </c>
      <c r="T14">
        <v>0</v>
      </c>
      <c r="U14">
        <v>0</v>
      </c>
      <c r="V14">
        <v>3130</v>
      </c>
      <c r="W14">
        <v>9</v>
      </c>
      <c r="X14">
        <v>0</v>
      </c>
      <c r="Y14">
        <v>0</v>
      </c>
      <c r="AA14">
        <f t="shared" si="5"/>
        <v>0</v>
      </c>
      <c r="AB14" t="str">
        <f t="shared" si="0"/>
        <v>0</v>
      </c>
      <c r="AC14">
        <f t="shared" si="6"/>
        <v>0</v>
      </c>
      <c r="AD14">
        <f t="shared" si="7"/>
        <v>0</v>
      </c>
      <c r="AE14">
        <f t="shared" si="8"/>
        <v>0</v>
      </c>
      <c r="AF14">
        <f t="shared" si="9"/>
        <v>0</v>
      </c>
    </row>
    <row r="15" spans="1:32" x14ac:dyDescent="0.3">
      <c r="A15">
        <v>36</v>
      </c>
      <c r="B15">
        <v>85</v>
      </c>
      <c r="C15">
        <v>165</v>
      </c>
      <c r="D15">
        <f t="shared" si="1"/>
        <v>31.221303948576679</v>
      </c>
      <c r="E15">
        <f t="shared" si="2"/>
        <v>3</v>
      </c>
      <c r="F15">
        <v>91</v>
      </c>
      <c r="G15">
        <f t="shared" si="3"/>
        <v>6</v>
      </c>
      <c r="H15">
        <v>1</v>
      </c>
      <c r="I15" t="s">
        <v>32</v>
      </c>
      <c r="J15">
        <v>0</v>
      </c>
      <c r="K15">
        <v>0</v>
      </c>
      <c r="L15">
        <v>2</v>
      </c>
      <c r="M15">
        <v>38</v>
      </c>
      <c r="N15">
        <v>5</v>
      </c>
      <c r="O15">
        <f t="shared" si="4"/>
        <v>38.714285714285715</v>
      </c>
      <c r="P15">
        <v>0</v>
      </c>
      <c r="Q15">
        <v>0</v>
      </c>
      <c r="R15">
        <v>3</v>
      </c>
      <c r="S15" t="s">
        <v>36</v>
      </c>
      <c r="T15">
        <v>0</v>
      </c>
      <c r="U15">
        <v>0</v>
      </c>
      <c r="V15">
        <v>4000</v>
      </c>
      <c r="W15">
        <v>8</v>
      </c>
      <c r="X15">
        <v>1</v>
      </c>
      <c r="Y15">
        <v>0</v>
      </c>
      <c r="AA15">
        <f t="shared" si="5"/>
        <v>0</v>
      </c>
      <c r="AB15" t="str">
        <f t="shared" si="0"/>
        <v>2</v>
      </c>
      <c r="AC15">
        <f t="shared" si="6"/>
        <v>1</v>
      </c>
      <c r="AD15">
        <f t="shared" si="7"/>
        <v>0</v>
      </c>
      <c r="AE15">
        <f t="shared" si="8"/>
        <v>1</v>
      </c>
      <c r="AF15">
        <f t="shared" si="9"/>
        <v>0</v>
      </c>
    </row>
    <row r="16" spans="1:32" x14ac:dyDescent="0.3">
      <c r="A16">
        <v>26</v>
      </c>
      <c r="B16">
        <v>39</v>
      </c>
      <c r="C16">
        <v>154</v>
      </c>
      <c r="D16">
        <f t="shared" si="1"/>
        <v>16.444594366672288</v>
      </c>
      <c r="E16">
        <f t="shared" si="2"/>
        <v>0</v>
      </c>
      <c r="F16">
        <v>58</v>
      </c>
      <c r="G16">
        <f t="shared" si="3"/>
        <v>19</v>
      </c>
      <c r="H16">
        <v>0</v>
      </c>
      <c r="J16">
        <v>0</v>
      </c>
      <c r="K16">
        <v>0</v>
      </c>
      <c r="L16">
        <v>1</v>
      </c>
      <c r="M16">
        <v>39</v>
      </c>
      <c r="N16">
        <v>5</v>
      </c>
      <c r="O16">
        <f t="shared" si="4"/>
        <v>39.714285714285715</v>
      </c>
      <c r="P16">
        <v>0</v>
      </c>
      <c r="Q16">
        <v>0</v>
      </c>
      <c r="R16">
        <v>0</v>
      </c>
      <c r="T16">
        <v>0</v>
      </c>
      <c r="U16">
        <v>0</v>
      </c>
      <c r="V16">
        <v>3000</v>
      </c>
      <c r="W16">
        <v>9</v>
      </c>
      <c r="X16">
        <v>0</v>
      </c>
      <c r="Y16">
        <v>0</v>
      </c>
      <c r="AA16">
        <f t="shared" si="5"/>
        <v>1</v>
      </c>
      <c r="AB16" t="str">
        <f t="shared" si="0"/>
        <v>0</v>
      </c>
      <c r="AC16">
        <f t="shared" si="6"/>
        <v>0</v>
      </c>
      <c r="AD16">
        <f t="shared" si="7"/>
        <v>0</v>
      </c>
      <c r="AE16">
        <f t="shared" si="8"/>
        <v>0</v>
      </c>
      <c r="AF16">
        <f t="shared" si="9"/>
        <v>0</v>
      </c>
    </row>
    <row r="17" spans="1:32" x14ac:dyDescent="0.3">
      <c r="A17">
        <v>33</v>
      </c>
      <c r="B17">
        <v>50.5</v>
      </c>
      <c r="C17">
        <v>155</v>
      </c>
      <c r="D17">
        <f t="shared" si="1"/>
        <v>21.019771071800207</v>
      </c>
      <c r="E17">
        <f t="shared" si="2"/>
        <v>1</v>
      </c>
      <c r="F17">
        <v>60</v>
      </c>
      <c r="G17">
        <f t="shared" si="3"/>
        <v>9.5</v>
      </c>
      <c r="H17">
        <v>0</v>
      </c>
      <c r="J17">
        <v>0</v>
      </c>
      <c r="K17">
        <v>1</v>
      </c>
      <c r="L17">
        <v>1</v>
      </c>
      <c r="M17">
        <v>38</v>
      </c>
      <c r="N17">
        <v>6</v>
      </c>
      <c r="O17">
        <f t="shared" si="4"/>
        <v>38.857142857142854</v>
      </c>
      <c r="P17">
        <v>0</v>
      </c>
      <c r="Q17">
        <v>0</v>
      </c>
      <c r="R17">
        <v>3</v>
      </c>
      <c r="S17" t="s">
        <v>34</v>
      </c>
      <c r="T17">
        <v>0</v>
      </c>
      <c r="U17">
        <v>0</v>
      </c>
      <c r="V17">
        <v>3200</v>
      </c>
      <c r="W17">
        <v>8</v>
      </c>
      <c r="X17">
        <v>1</v>
      </c>
      <c r="Y17">
        <v>0</v>
      </c>
      <c r="AA17">
        <f t="shared" si="5"/>
        <v>0</v>
      </c>
      <c r="AB17" t="str">
        <f t="shared" si="0"/>
        <v>0</v>
      </c>
      <c r="AC17">
        <f t="shared" si="6"/>
        <v>0</v>
      </c>
      <c r="AD17">
        <f t="shared" si="7"/>
        <v>0</v>
      </c>
      <c r="AE17">
        <f t="shared" si="8"/>
        <v>1</v>
      </c>
      <c r="AF17">
        <f t="shared" si="9"/>
        <v>0</v>
      </c>
    </row>
    <row r="18" spans="1:32" x14ac:dyDescent="0.3">
      <c r="A18">
        <v>27</v>
      </c>
      <c r="B18">
        <v>56</v>
      </c>
      <c r="C18">
        <v>150</v>
      </c>
      <c r="D18">
        <f t="shared" si="1"/>
        <v>24.888888888888889</v>
      </c>
      <c r="E18">
        <f t="shared" si="2"/>
        <v>2</v>
      </c>
      <c r="F18">
        <v>67</v>
      </c>
      <c r="G18">
        <f t="shared" si="3"/>
        <v>11</v>
      </c>
      <c r="H18">
        <v>0</v>
      </c>
      <c r="J18">
        <v>0</v>
      </c>
      <c r="K18">
        <v>0</v>
      </c>
      <c r="L18">
        <v>1</v>
      </c>
      <c r="M18">
        <v>37</v>
      </c>
      <c r="N18">
        <v>6</v>
      </c>
      <c r="O18">
        <f t="shared" si="4"/>
        <v>37.857142857142854</v>
      </c>
      <c r="P18">
        <v>0</v>
      </c>
      <c r="Q18">
        <v>1</v>
      </c>
      <c r="R18">
        <v>0</v>
      </c>
      <c r="T18">
        <v>0</v>
      </c>
      <c r="U18">
        <v>0</v>
      </c>
      <c r="V18">
        <v>2600</v>
      </c>
      <c r="W18">
        <v>9</v>
      </c>
      <c r="X18">
        <v>0</v>
      </c>
      <c r="Y18">
        <v>0</v>
      </c>
      <c r="AA18">
        <f t="shared" si="5"/>
        <v>0</v>
      </c>
      <c r="AB18" t="str">
        <f t="shared" si="0"/>
        <v>0</v>
      </c>
      <c r="AC18">
        <f t="shared" si="6"/>
        <v>0</v>
      </c>
      <c r="AD18">
        <f t="shared" si="7"/>
        <v>0</v>
      </c>
      <c r="AE18">
        <f t="shared" si="8"/>
        <v>0</v>
      </c>
      <c r="AF18">
        <f t="shared" si="9"/>
        <v>0</v>
      </c>
    </row>
    <row r="19" spans="1:32" x14ac:dyDescent="0.3">
      <c r="A19">
        <v>15</v>
      </c>
      <c r="B19">
        <v>55</v>
      </c>
      <c r="C19">
        <v>162</v>
      </c>
      <c r="D19">
        <f t="shared" si="1"/>
        <v>20.957171162932475</v>
      </c>
      <c r="E19">
        <f t="shared" si="2"/>
        <v>1</v>
      </c>
      <c r="F19">
        <v>68</v>
      </c>
      <c r="G19">
        <f t="shared" si="3"/>
        <v>13</v>
      </c>
      <c r="H19">
        <v>0</v>
      </c>
      <c r="J19">
        <v>0</v>
      </c>
      <c r="K19">
        <v>0</v>
      </c>
      <c r="L19">
        <v>0</v>
      </c>
      <c r="M19">
        <v>40</v>
      </c>
      <c r="N19">
        <v>5</v>
      </c>
      <c r="O19">
        <f t="shared" si="4"/>
        <v>40.714285714285715</v>
      </c>
      <c r="P19">
        <v>0</v>
      </c>
      <c r="Q19">
        <v>0</v>
      </c>
      <c r="R19">
        <v>0</v>
      </c>
      <c r="T19">
        <v>0</v>
      </c>
      <c r="U19">
        <v>0</v>
      </c>
      <c r="V19">
        <v>3240</v>
      </c>
      <c r="W19">
        <v>9</v>
      </c>
      <c r="X19">
        <v>0</v>
      </c>
      <c r="Y19">
        <v>0</v>
      </c>
      <c r="AA19">
        <f t="shared" si="5"/>
        <v>0</v>
      </c>
      <c r="AB19" t="str">
        <f t="shared" si="0"/>
        <v>0</v>
      </c>
      <c r="AC19">
        <f t="shared" si="6"/>
        <v>0</v>
      </c>
      <c r="AD19">
        <f t="shared" si="7"/>
        <v>0</v>
      </c>
      <c r="AE19">
        <f t="shared" si="8"/>
        <v>0</v>
      </c>
      <c r="AF19">
        <f t="shared" si="9"/>
        <v>0</v>
      </c>
    </row>
    <row r="20" spans="1:32" x14ac:dyDescent="0.3">
      <c r="A20">
        <v>30</v>
      </c>
      <c r="B20">
        <v>53</v>
      </c>
      <c r="C20">
        <v>153</v>
      </c>
      <c r="D20">
        <f t="shared" si="1"/>
        <v>22.64086462471699</v>
      </c>
      <c r="E20">
        <f t="shared" si="2"/>
        <v>1</v>
      </c>
      <c r="F20">
        <v>71</v>
      </c>
      <c r="G20">
        <f t="shared" si="3"/>
        <v>18</v>
      </c>
      <c r="H20">
        <v>1</v>
      </c>
      <c r="I20" t="s">
        <v>37</v>
      </c>
      <c r="J20">
        <v>0</v>
      </c>
      <c r="K20">
        <v>0</v>
      </c>
      <c r="L20">
        <v>1</v>
      </c>
      <c r="M20">
        <v>39</v>
      </c>
      <c r="N20">
        <v>4</v>
      </c>
      <c r="O20">
        <f t="shared" si="4"/>
        <v>39.571428571428569</v>
      </c>
      <c r="P20">
        <v>0</v>
      </c>
      <c r="Q20">
        <v>0</v>
      </c>
      <c r="R20">
        <v>3</v>
      </c>
      <c r="S20" t="s">
        <v>35</v>
      </c>
      <c r="T20">
        <v>0</v>
      </c>
      <c r="U20">
        <v>0</v>
      </c>
      <c r="V20">
        <v>3780</v>
      </c>
      <c r="W20">
        <v>9</v>
      </c>
      <c r="X20">
        <v>1</v>
      </c>
      <c r="Y20">
        <v>0</v>
      </c>
      <c r="AA20">
        <f t="shared" si="5"/>
        <v>1</v>
      </c>
      <c r="AB20" t="str">
        <f t="shared" si="0"/>
        <v>2</v>
      </c>
      <c r="AC20">
        <f t="shared" si="6"/>
        <v>0</v>
      </c>
      <c r="AD20">
        <f t="shared" si="7"/>
        <v>0</v>
      </c>
      <c r="AE20">
        <f t="shared" si="8"/>
        <v>1</v>
      </c>
      <c r="AF20">
        <f t="shared" si="9"/>
        <v>0</v>
      </c>
    </row>
    <row r="21" spans="1:32" x14ac:dyDescent="0.3">
      <c r="A21">
        <v>28</v>
      </c>
      <c r="B21">
        <v>78</v>
      </c>
      <c r="C21">
        <v>163</v>
      </c>
      <c r="D21">
        <f t="shared" si="1"/>
        <v>29.357521924046825</v>
      </c>
      <c r="E21">
        <f t="shared" si="2"/>
        <v>3</v>
      </c>
      <c r="F21">
        <v>82</v>
      </c>
      <c r="G21">
        <f t="shared" si="3"/>
        <v>4</v>
      </c>
      <c r="H21">
        <v>1</v>
      </c>
      <c r="I21" t="s">
        <v>32</v>
      </c>
      <c r="J21">
        <v>0</v>
      </c>
      <c r="K21">
        <v>1</v>
      </c>
      <c r="L21">
        <v>1</v>
      </c>
      <c r="M21">
        <v>39</v>
      </c>
      <c r="N21">
        <v>0</v>
      </c>
      <c r="O21">
        <f t="shared" si="4"/>
        <v>39</v>
      </c>
      <c r="P21">
        <v>0</v>
      </c>
      <c r="Q21">
        <v>0</v>
      </c>
      <c r="R21">
        <v>3</v>
      </c>
      <c r="S21" t="s">
        <v>34</v>
      </c>
      <c r="T21">
        <v>0</v>
      </c>
      <c r="U21">
        <v>0</v>
      </c>
      <c r="V21">
        <v>3450</v>
      </c>
      <c r="W21">
        <v>8</v>
      </c>
      <c r="X21">
        <v>1</v>
      </c>
      <c r="Y21">
        <v>0</v>
      </c>
      <c r="AA21">
        <f t="shared" si="5"/>
        <v>0</v>
      </c>
      <c r="AB21" t="str">
        <f t="shared" si="0"/>
        <v>0</v>
      </c>
      <c r="AC21">
        <f t="shared" si="6"/>
        <v>0</v>
      </c>
      <c r="AD21">
        <f t="shared" si="7"/>
        <v>0</v>
      </c>
      <c r="AE21">
        <f t="shared" si="8"/>
        <v>1</v>
      </c>
      <c r="AF21">
        <f t="shared" si="9"/>
        <v>0</v>
      </c>
    </row>
    <row r="22" spans="1:32" x14ac:dyDescent="0.3">
      <c r="A22">
        <v>25</v>
      </c>
      <c r="B22">
        <v>65</v>
      </c>
      <c r="C22">
        <v>170</v>
      </c>
      <c r="D22">
        <f t="shared" si="1"/>
        <v>22.491349480968861</v>
      </c>
      <c r="E22">
        <f t="shared" si="2"/>
        <v>1</v>
      </c>
      <c r="F22">
        <v>75</v>
      </c>
      <c r="G22">
        <f t="shared" si="3"/>
        <v>10</v>
      </c>
      <c r="H22">
        <v>0</v>
      </c>
      <c r="J22">
        <v>0</v>
      </c>
      <c r="K22">
        <v>0</v>
      </c>
      <c r="L22">
        <v>0</v>
      </c>
      <c r="M22">
        <v>40</v>
      </c>
      <c r="N22">
        <v>6</v>
      </c>
      <c r="O22">
        <f t="shared" si="4"/>
        <v>40.857142857142854</v>
      </c>
      <c r="P22">
        <v>0</v>
      </c>
      <c r="Q22">
        <v>0</v>
      </c>
      <c r="R22">
        <v>0</v>
      </c>
      <c r="T22">
        <v>0</v>
      </c>
      <c r="U22">
        <v>0</v>
      </c>
      <c r="V22">
        <v>3260</v>
      </c>
      <c r="W22">
        <v>8</v>
      </c>
      <c r="X22">
        <v>1</v>
      </c>
      <c r="Y22">
        <v>1</v>
      </c>
      <c r="Z22" t="s">
        <v>38</v>
      </c>
      <c r="AA22">
        <f t="shared" si="5"/>
        <v>0</v>
      </c>
      <c r="AB22" t="str">
        <f t="shared" si="0"/>
        <v>0</v>
      </c>
      <c r="AC22">
        <f t="shared" si="6"/>
        <v>0</v>
      </c>
      <c r="AD22">
        <f t="shared" si="7"/>
        <v>0</v>
      </c>
      <c r="AE22">
        <f t="shared" si="8"/>
        <v>0</v>
      </c>
      <c r="AF22">
        <f t="shared" si="9"/>
        <v>0</v>
      </c>
    </row>
    <row r="23" spans="1:32" x14ac:dyDescent="0.3">
      <c r="A23">
        <v>32</v>
      </c>
      <c r="B23">
        <v>48</v>
      </c>
      <c r="C23">
        <v>150</v>
      </c>
      <c r="D23">
        <f t="shared" si="1"/>
        <v>21.333333333333332</v>
      </c>
      <c r="E23">
        <f t="shared" si="2"/>
        <v>1</v>
      </c>
      <c r="F23">
        <v>61</v>
      </c>
      <c r="G23">
        <f t="shared" si="3"/>
        <v>13</v>
      </c>
      <c r="H23">
        <v>0</v>
      </c>
      <c r="J23">
        <v>0</v>
      </c>
      <c r="K23">
        <v>0</v>
      </c>
      <c r="L23">
        <v>1</v>
      </c>
      <c r="M23">
        <v>37</v>
      </c>
      <c r="N23">
        <v>0</v>
      </c>
      <c r="O23">
        <f t="shared" si="4"/>
        <v>37</v>
      </c>
      <c r="P23">
        <v>0</v>
      </c>
      <c r="Q23">
        <v>0</v>
      </c>
      <c r="R23">
        <v>0</v>
      </c>
      <c r="T23">
        <v>0</v>
      </c>
      <c r="U23">
        <v>0</v>
      </c>
      <c r="V23">
        <v>2920</v>
      </c>
      <c r="W23">
        <v>8</v>
      </c>
      <c r="X23">
        <v>1</v>
      </c>
      <c r="Y23">
        <v>1</v>
      </c>
      <c r="Z23" t="s">
        <v>40</v>
      </c>
      <c r="AA23">
        <f t="shared" si="5"/>
        <v>0</v>
      </c>
      <c r="AB23" t="str">
        <f t="shared" si="0"/>
        <v>0</v>
      </c>
      <c r="AC23">
        <f t="shared" si="6"/>
        <v>0</v>
      </c>
      <c r="AD23">
        <f t="shared" si="7"/>
        <v>0</v>
      </c>
      <c r="AE23">
        <f t="shared" si="8"/>
        <v>0</v>
      </c>
      <c r="AF23">
        <f t="shared" si="9"/>
        <v>0</v>
      </c>
    </row>
    <row r="24" spans="1:32" x14ac:dyDescent="0.3">
      <c r="A24">
        <v>32</v>
      </c>
      <c r="B24">
        <v>60</v>
      </c>
      <c r="C24">
        <v>172</v>
      </c>
      <c r="D24">
        <f t="shared" si="1"/>
        <v>20.281233098972418</v>
      </c>
      <c r="E24">
        <f t="shared" si="2"/>
        <v>1</v>
      </c>
      <c r="F24">
        <v>87</v>
      </c>
      <c r="G24">
        <f t="shared" si="3"/>
        <v>27</v>
      </c>
      <c r="H24">
        <v>0</v>
      </c>
      <c r="J24">
        <v>0</v>
      </c>
      <c r="K24">
        <v>1</v>
      </c>
      <c r="L24">
        <v>1</v>
      </c>
      <c r="M24">
        <v>39</v>
      </c>
      <c r="N24">
        <v>4</v>
      </c>
      <c r="O24">
        <f t="shared" si="4"/>
        <v>39.571428571428569</v>
      </c>
      <c r="P24">
        <v>0</v>
      </c>
      <c r="Q24">
        <v>0</v>
      </c>
      <c r="R24">
        <v>3</v>
      </c>
      <c r="S24" t="s">
        <v>34</v>
      </c>
      <c r="T24">
        <v>0</v>
      </c>
      <c r="U24">
        <v>0</v>
      </c>
      <c r="V24">
        <v>4100</v>
      </c>
      <c r="W24">
        <v>8</v>
      </c>
      <c r="X24">
        <v>1</v>
      </c>
      <c r="Y24">
        <v>0</v>
      </c>
      <c r="AA24">
        <f t="shared" si="5"/>
        <v>1</v>
      </c>
      <c r="AB24" t="str">
        <f t="shared" si="0"/>
        <v>2</v>
      </c>
      <c r="AC24">
        <f t="shared" si="6"/>
        <v>1</v>
      </c>
      <c r="AD24">
        <f t="shared" si="7"/>
        <v>0</v>
      </c>
      <c r="AE24">
        <f t="shared" si="8"/>
        <v>1</v>
      </c>
      <c r="AF24">
        <f t="shared" si="9"/>
        <v>0</v>
      </c>
    </row>
    <row r="25" spans="1:32" x14ac:dyDescent="0.3">
      <c r="A25">
        <v>18</v>
      </c>
      <c r="B25">
        <v>42</v>
      </c>
      <c r="C25">
        <v>157</v>
      </c>
      <c r="D25">
        <f t="shared" si="1"/>
        <v>17.039230800438151</v>
      </c>
      <c r="E25">
        <f t="shared" si="2"/>
        <v>0</v>
      </c>
      <c r="F25">
        <v>53</v>
      </c>
      <c r="G25">
        <f t="shared" si="3"/>
        <v>11</v>
      </c>
      <c r="H25">
        <v>0</v>
      </c>
      <c r="J25">
        <v>0</v>
      </c>
      <c r="K25">
        <v>0</v>
      </c>
      <c r="L25">
        <v>0</v>
      </c>
      <c r="M25">
        <v>40</v>
      </c>
      <c r="N25">
        <v>3</v>
      </c>
      <c r="O25">
        <f t="shared" si="4"/>
        <v>40.428571428571431</v>
      </c>
      <c r="P25">
        <v>0</v>
      </c>
      <c r="Q25">
        <v>0</v>
      </c>
      <c r="R25">
        <v>0</v>
      </c>
      <c r="T25">
        <v>0</v>
      </c>
      <c r="U25">
        <v>0</v>
      </c>
      <c r="V25">
        <v>3030</v>
      </c>
      <c r="W25">
        <v>9</v>
      </c>
      <c r="X25">
        <v>0</v>
      </c>
      <c r="Y25">
        <v>0</v>
      </c>
      <c r="AA25">
        <f t="shared" si="5"/>
        <v>0</v>
      </c>
      <c r="AB25" t="str">
        <f t="shared" si="0"/>
        <v>0</v>
      </c>
      <c r="AC25">
        <f t="shared" si="6"/>
        <v>0</v>
      </c>
      <c r="AD25">
        <f t="shared" si="7"/>
        <v>0</v>
      </c>
      <c r="AE25">
        <f t="shared" si="8"/>
        <v>0</v>
      </c>
      <c r="AF25">
        <f t="shared" si="9"/>
        <v>0</v>
      </c>
    </row>
    <row r="26" spans="1:32" x14ac:dyDescent="0.3">
      <c r="A26">
        <v>20</v>
      </c>
      <c r="B26">
        <v>57</v>
      </c>
      <c r="C26">
        <v>175</v>
      </c>
      <c r="D26">
        <f t="shared" si="1"/>
        <v>18.612244897959183</v>
      </c>
      <c r="E26">
        <f t="shared" si="2"/>
        <v>1</v>
      </c>
      <c r="F26">
        <v>80</v>
      </c>
      <c r="G26">
        <f t="shared" si="3"/>
        <v>23</v>
      </c>
      <c r="H26">
        <v>0</v>
      </c>
      <c r="J26">
        <v>0</v>
      </c>
      <c r="K26">
        <v>0</v>
      </c>
      <c r="L26">
        <v>0</v>
      </c>
      <c r="M26">
        <v>40</v>
      </c>
      <c r="N26">
        <v>4</v>
      </c>
      <c r="O26">
        <f t="shared" si="4"/>
        <v>40.571428571428569</v>
      </c>
      <c r="P26">
        <v>0</v>
      </c>
      <c r="Q26">
        <v>0</v>
      </c>
      <c r="R26">
        <v>0</v>
      </c>
      <c r="T26">
        <v>0</v>
      </c>
      <c r="U26">
        <v>0</v>
      </c>
      <c r="V26">
        <v>3510</v>
      </c>
      <c r="W26">
        <v>9</v>
      </c>
      <c r="X26">
        <v>0</v>
      </c>
      <c r="Y26">
        <v>0</v>
      </c>
      <c r="AA26">
        <f t="shared" si="5"/>
        <v>1</v>
      </c>
      <c r="AB26" t="str">
        <f t="shared" si="0"/>
        <v>0</v>
      </c>
      <c r="AC26">
        <f t="shared" si="6"/>
        <v>0</v>
      </c>
      <c r="AD26">
        <f t="shared" si="7"/>
        <v>0</v>
      </c>
      <c r="AE26">
        <f t="shared" si="8"/>
        <v>0</v>
      </c>
      <c r="AF26">
        <f t="shared" si="9"/>
        <v>0</v>
      </c>
    </row>
    <row r="27" spans="1:32" x14ac:dyDescent="0.3">
      <c r="A27">
        <v>21</v>
      </c>
      <c r="B27">
        <v>67</v>
      </c>
      <c r="C27">
        <v>160</v>
      </c>
      <c r="D27">
        <f t="shared" si="1"/>
        <v>26.171874999999996</v>
      </c>
      <c r="E27">
        <f t="shared" si="2"/>
        <v>3</v>
      </c>
      <c r="F27">
        <v>78</v>
      </c>
      <c r="G27">
        <f t="shared" si="3"/>
        <v>11</v>
      </c>
      <c r="H27">
        <v>1</v>
      </c>
      <c r="I27" t="s">
        <v>32</v>
      </c>
      <c r="J27">
        <v>0</v>
      </c>
      <c r="K27">
        <v>0</v>
      </c>
      <c r="L27">
        <v>0</v>
      </c>
      <c r="M27">
        <v>40</v>
      </c>
      <c r="N27">
        <v>1</v>
      </c>
      <c r="O27">
        <f t="shared" si="4"/>
        <v>40.142857142857146</v>
      </c>
      <c r="P27">
        <v>0</v>
      </c>
      <c r="Q27">
        <v>0</v>
      </c>
      <c r="R27">
        <v>3</v>
      </c>
      <c r="S27" t="s">
        <v>35</v>
      </c>
      <c r="T27">
        <v>0</v>
      </c>
      <c r="U27">
        <v>0</v>
      </c>
      <c r="V27">
        <v>3060</v>
      </c>
      <c r="W27">
        <v>9</v>
      </c>
      <c r="X27">
        <v>1</v>
      </c>
      <c r="Y27">
        <v>0</v>
      </c>
      <c r="AA27">
        <f t="shared" si="5"/>
        <v>1</v>
      </c>
      <c r="AB27" t="str">
        <f t="shared" si="0"/>
        <v>0</v>
      </c>
      <c r="AC27">
        <f t="shared" si="6"/>
        <v>0</v>
      </c>
      <c r="AD27">
        <f t="shared" si="7"/>
        <v>0</v>
      </c>
      <c r="AE27">
        <f t="shared" si="8"/>
        <v>1</v>
      </c>
      <c r="AF27">
        <f t="shared" si="9"/>
        <v>0</v>
      </c>
    </row>
    <row r="28" spans="1:32" x14ac:dyDescent="0.3">
      <c r="A28">
        <v>25</v>
      </c>
      <c r="B28">
        <v>46</v>
      </c>
      <c r="C28">
        <v>160</v>
      </c>
      <c r="D28">
        <f t="shared" si="1"/>
        <v>17.968749999999996</v>
      </c>
      <c r="E28">
        <f t="shared" si="2"/>
        <v>0</v>
      </c>
      <c r="F28">
        <v>74</v>
      </c>
      <c r="G28">
        <f t="shared" si="3"/>
        <v>28</v>
      </c>
      <c r="H28">
        <v>1</v>
      </c>
      <c r="I28" t="s">
        <v>39</v>
      </c>
      <c r="J28">
        <v>0</v>
      </c>
      <c r="K28">
        <v>1</v>
      </c>
      <c r="L28">
        <v>1</v>
      </c>
      <c r="M28">
        <v>38</v>
      </c>
      <c r="N28">
        <v>6</v>
      </c>
      <c r="O28">
        <f t="shared" si="4"/>
        <v>38.857142857142854</v>
      </c>
      <c r="P28">
        <v>0</v>
      </c>
      <c r="Q28">
        <v>0</v>
      </c>
      <c r="R28">
        <v>3</v>
      </c>
      <c r="S28" t="s">
        <v>34</v>
      </c>
      <c r="T28">
        <v>0</v>
      </c>
      <c r="U28">
        <v>0</v>
      </c>
      <c r="V28">
        <v>2920</v>
      </c>
      <c r="W28">
        <v>9</v>
      </c>
      <c r="X28">
        <v>1</v>
      </c>
      <c r="Y28">
        <v>0</v>
      </c>
      <c r="AA28">
        <f t="shared" si="5"/>
        <v>1</v>
      </c>
      <c r="AB28" t="str">
        <f t="shared" si="0"/>
        <v>0</v>
      </c>
      <c r="AC28">
        <f t="shared" si="6"/>
        <v>0</v>
      </c>
      <c r="AD28">
        <f t="shared" si="7"/>
        <v>0</v>
      </c>
      <c r="AE28">
        <f t="shared" si="8"/>
        <v>1</v>
      </c>
      <c r="AF28">
        <f t="shared" si="9"/>
        <v>0</v>
      </c>
    </row>
    <row r="29" spans="1:32" x14ac:dyDescent="0.3">
      <c r="A29">
        <v>30</v>
      </c>
      <c r="B29">
        <v>62</v>
      </c>
      <c r="C29">
        <v>165</v>
      </c>
      <c r="D29">
        <f t="shared" si="1"/>
        <v>22.77318640955005</v>
      </c>
      <c r="E29">
        <f t="shared" si="2"/>
        <v>1</v>
      </c>
      <c r="F29">
        <v>75</v>
      </c>
      <c r="G29">
        <f t="shared" si="3"/>
        <v>13</v>
      </c>
      <c r="H29">
        <v>0</v>
      </c>
      <c r="J29">
        <v>0</v>
      </c>
      <c r="K29">
        <v>0</v>
      </c>
      <c r="L29">
        <v>0</v>
      </c>
      <c r="M29">
        <v>40</v>
      </c>
      <c r="N29">
        <v>3</v>
      </c>
      <c r="O29">
        <f t="shared" si="4"/>
        <v>40.428571428571431</v>
      </c>
      <c r="P29">
        <v>0</v>
      </c>
      <c r="Q29">
        <v>0</v>
      </c>
      <c r="R29">
        <v>0</v>
      </c>
      <c r="T29">
        <v>0</v>
      </c>
      <c r="U29">
        <v>0</v>
      </c>
      <c r="V29">
        <v>3360</v>
      </c>
      <c r="W29">
        <v>9</v>
      </c>
      <c r="X29">
        <v>0</v>
      </c>
      <c r="Y29">
        <v>0</v>
      </c>
      <c r="AA29">
        <f t="shared" si="5"/>
        <v>0</v>
      </c>
      <c r="AB29" t="str">
        <f t="shared" si="0"/>
        <v>0</v>
      </c>
      <c r="AC29">
        <f t="shared" si="6"/>
        <v>0</v>
      </c>
      <c r="AD29">
        <f t="shared" si="7"/>
        <v>0</v>
      </c>
      <c r="AE29">
        <f t="shared" si="8"/>
        <v>0</v>
      </c>
      <c r="AF29">
        <f t="shared" si="9"/>
        <v>0</v>
      </c>
    </row>
    <row r="30" spans="1:32" x14ac:dyDescent="0.3">
      <c r="A30">
        <v>28</v>
      </c>
      <c r="B30">
        <v>38.299999999999997</v>
      </c>
      <c r="C30">
        <v>148</v>
      </c>
      <c r="D30">
        <f t="shared" si="1"/>
        <v>17.485390796201607</v>
      </c>
      <c r="E30">
        <f t="shared" si="2"/>
        <v>0</v>
      </c>
      <c r="F30">
        <v>50</v>
      </c>
      <c r="G30">
        <f t="shared" si="3"/>
        <v>11.700000000000003</v>
      </c>
      <c r="H30">
        <v>0</v>
      </c>
      <c r="J30">
        <v>0</v>
      </c>
      <c r="K30">
        <v>0</v>
      </c>
      <c r="L30">
        <v>3</v>
      </c>
      <c r="M30">
        <v>38</v>
      </c>
      <c r="N30">
        <v>5</v>
      </c>
      <c r="O30">
        <f t="shared" si="4"/>
        <v>38.714285714285715</v>
      </c>
      <c r="P30">
        <v>0</v>
      </c>
      <c r="Q30">
        <v>0</v>
      </c>
      <c r="R30">
        <v>0</v>
      </c>
      <c r="T30">
        <v>1</v>
      </c>
      <c r="U30">
        <v>0</v>
      </c>
      <c r="V30">
        <v>3370</v>
      </c>
      <c r="W30">
        <v>9</v>
      </c>
      <c r="X30">
        <v>0</v>
      </c>
      <c r="Y30">
        <v>0</v>
      </c>
      <c r="AA30">
        <f t="shared" si="5"/>
        <v>0</v>
      </c>
      <c r="AB30" t="str">
        <f t="shared" si="0"/>
        <v>0</v>
      </c>
      <c r="AC30">
        <f t="shared" si="6"/>
        <v>0</v>
      </c>
      <c r="AD30">
        <f t="shared" si="7"/>
        <v>0</v>
      </c>
      <c r="AE30">
        <f t="shared" si="8"/>
        <v>0</v>
      </c>
      <c r="AF30">
        <f t="shared" si="9"/>
        <v>0</v>
      </c>
    </row>
    <row r="31" spans="1:32" x14ac:dyDescent="0.3">
      <c r="A31">
        <v>24</v>
      </c>
      <c r="B31">
        <v>54</v>
      </c>
      <c r="C31">
        <v>170</v>
      </c>
      <c r="D31">
        <f t="shared" si="1"/>
        <v>18.68512110726644</v>
      </c>
      <c r="E31">
        <f t="shared" si="2"/>
        <v>1</v>
      </c>
      <c r="F31">
        <v>65</v>
      </c>
      <c r="G31">
        <f t="shared" si="3"/>
        <v>11</v>
      </c>
      <c r="H31">
        <v>0</v>
      </c>
      <c r="J31">
        <v>0</v>
      </c>
      <c r="K31">
        <v>1</v>
      </c>
      <c r="L31">
        <v>1</v>
      </c>
      <c r="M31">
        <v>39</v>
      </c>
      <c r="N31">
        <v>0</v>
      </c>
      <c r="O31">
        <f t="shared" si="4"/>
        <v>39</v>
      </c>
      <c r="P31">
        <v>0</v>
      </c>
      <c r="Q31">
        <v>0</v>
      </c>
      <c r="R31">
        <v>3</v>
      </c>
      <c r="S31" t="s">
        <v>34</v>
      </c>
      <c r="T31">
        <v>0</v>
      </c>
      <c r="U31">
        <v>0</v>
      </c>
      <c r="V31">
        <v>3070</v>
      </c>
      <c r="W31">
        <v>9</v>
      </c>
      <c r="X31">
        <v>1</v>
      </c>
      <c r="Y31">
        <v>0</v>
      </c>
      <c r="AA31">
        <f t="shared" si="5"/>
        <v>0</v>
      </c>
      <c r="AB31" t="str">
        <f t="shared" si="0"/>
        <v>0</v>
      </c>
      <c r="AC31">
        <f t="shared" si="6"/>
        <v>0</v>
      </c>
      <c r="AD31">
        <f t="shared" si="7"/>
        <v>0</v>
      </c>
      <c r="AE31">
        <f t="shared" si="8"/>
        <v>1</v>
      </c>
      <c r="AF31">
        <f t="shared" si="9"/>
        <v>0</v>
      </c>
    </row>
    <row r="32" spans="1:32" x14ac:dyDescent="0.3">
      <c r="A32">
        <v>42</v>
      </c>
      <c r="B32">
        <v>67</v>
      </c>
      <c r="C32">
        <v>165</v>
      </c>
      <c r="D32">
        <f t="shared" si="1"/>
        <v>24.609733700642796</v>
      </c>
      <c r="E32">
        <f t="shared" si="2"/>
        <v>2</v>
      </c>
      <c r="F32">
        <v>80</v>
      </c>
      <c r="G32">
        <f t="shared" si="3"/>
        <v>13</v>
      </c>
      <c r="H32">
        <v>0</v>
      </c>
      <c r="J32">
        <v>0</v>
      </c>
      <c r="K32">
        <v>1</v>
      </c>
      <c r="L32">
        <v>1</v>
      </c>
      <c r="M32">
        <v>39</v>
      </c>
      <c r="N32">
        <v>0</v>
      </c>
      <c r="O32">
        <f t="shared" si="4"/>
        <v>39</v>
      </c>
      <c r="P32">
        <v>0</v>
      </c>
      <c r="Q32">
        <v>0</v>
      </c>
      <c r="R32">
        <v>3</v>
      </c>
      <c r="S32" t="s">
        <v>34</v>
      </c>
      <c r="T32">
        <v>0</v>
      </c>
      <c r="U32">
        <v>0</v>
      </c>
      <c r="V32">
        <v>3940</v>
      </c>
      <c r="W32">
        <v>8</v>
      </c>
      <c r="X32">
        <v>1</v>
      </c>
      <c r="Y32">
        <v>0</v>
      </c>
      <c r="AA32">
        <f t="shared" si="5"/>
        <v>1</v>
      </c>
      <c r="AB32" t="str">
        <f t="shared" si="0"/>
        <v>2</v>
      </c>
      <c r="AC32">
        <f t="shared" si="6"/>
        <v>0</v>
      </c>
      <c r="AD32">
        <f t="shared" si="7"/>
        <v>0</v>
      </c>
      <c r="AE32">
        <f t="shared" si="8"/>
        <v>1</v>
      </c>
      <c r="AF32">
        <f t="shared" si="9"/>
        <v>0</v>
      </c>
    </row>
    <row r="33" spans="1:32" x14ac:dyDescent="0.3">
      <c r="A33">
        <v>24</v>
      </c>
      <c r="B33">
        <v>50</v>
      </c>
      <c r="C33">
        <v>156</v>
      </c>
      <c r="D33">
        <f t="shared" si="1"/>
        <v>20.5456936226167</v>
      </c>
      <c r="E33">
        <f t="shared" si="2"/>
        <v>1</v>
      </c>
      <c r="F33">
        <v>68</v>
      </c>
      <c r="G33">
        <f t="shared" si="3"/>
        <v>18</v>
      </c>
      <c r="H33">
        <v>0</v>
      </c>
      <c r="J33">
        <v>0</v>
      </c>
      <c r="K33">
        <v>0</v>
      </c>
      <c r="L33">
        <v>0</v>
      </c>
      <c r="M33">
        <v>37</v>
      </c>
      <c r="N33">
        <v>6</v>
      </c>
      <c r="O33">
        <f t="shared" si="4"/>
        <v>37.857142857142854</v>
      </c>
      <c r="P33">
        <v>0</v>
      </c>
      <c r="Q33">
        <v>0</v>
      </c>
      <c r="R33">
        <v>0</v>
      </c>
      <c r="T33">
        <v>0</v>
      </c>
      <c r="U33">
        <v>0</v>
      </c>
      <c r="V33">
        <v>2840</v>
      </c>
      <c r="W33">
        <v>9</v>
      </c>
      <c r="X33">
        <v>0</v>
      </c>
      <c r="Y33">
        <v>0</v>
      </c>
      <c r="AA33">
        <f t="shared" si="5"/>
        <v>1</v>
      </c>
      <c r="AB33" t="str">
        <f t="shared" si="0"/>
        <v>0</v>
      </c>
      <c r="AC33">
        <f t="shared" si="6"/>
        <v>0</v>
      </c>
      <c r="AD33">
        <f t="shared" si="7"/>
        <v>0</v>
      </c>
      <c r="AE33">
        <f t="shared" si="8"/>
        <v>0</v>
      </c>
      <c r="AF33">
        <f t="shared" si="9"/>
        <v>0</v>
      </c>
    </row>
    <row r="34" spans="1:32" x14ac:dyDescent="0.3">
      <c r="A34">
        <v>28</v>
      </c>
      <c r="B34">
        <v>54</v>
      </c>
      <c r="C34">
        <v>156</v>
      </c>
      <c r="D34">
        <f t="shared" si="1"/>
        <v>22.189349112426033</v>
      </c>
      <c r="E34">
        <f t="shared" si="2"/>
        <v>1</v>
      </c>
      <c r="F34">
        <v>71.5</v>
      </c>
      <c r="G34">
        <f t="shared" si="3"/>
        <v>17.5</v>
      </c>
      <c r="H34">
        <v>0</v>
      </c>
      <c r="J34">
        <v>0</v>
      </c>
      <c r="K34">
        <v>0</v>
      </c>
      <c r="L34">
        <v>1</v>
      </c>
      <c r="M34">
        <v>40</v>
      </c>
      <c r="N34">
        <v>4</v>
      </c>
      <c r="O34">
        <f t="shared" si="4"/>
        <v>40.571428571428569</v>
      </c>
      <c r="P34">
        <v>0</v>
      </c>
      <c r="Q34">
        <v>1</v>
      </c>
      <c r="R34">
        <v>0</v>
      </c>
      <c r="T34">
        <v>2</v>
      </c>
      <c r="U34">
        <v>0</v>
      </c>
      <c r="V34">
        <v>3210</v>
      </c>
      <c r="W34">
        <v>9</v>
      </c>
      <c r="X34">
        <v>0</v>
      </c>
      <c r="Y34">
        <v>0</v>
      </c>
      <c r="AA34">
        <f t="shared" si="5"/>
        <v>1</v>
      </c>
      <c r="AB34" t="str">
        <f t="shared" si="0"/>
        <v>0</v>
      </c>
      <c r="AC34">
        <f t="shared" si="6"/>
        <v>0</v>
      </c>
      <c r="AD34">
        <f t="shared" si="7"/>
        <v>0</v>
      </c>
      <c r="AE34">
        <f t="shared" si="8"/>
        <v>0</v>
      </c>
      <c r="AF34">
        <f t="shared" si="9"/>
        <v>0</v>
      </c>
    </row>
    <row r="35" spans="1:32" x14ac:dyDescent="0.3">
      <c r="A35">
        <v>29</v>
      </c>
      <c r="B35">
        <v>63.5</v>
      </c>
      <c r="C35">
        <v>150</v>
      </c>
      <c r="D35">
        <f t="shared" si="1"/>
        <v>28.222222222222221</v>
      </c>
      <c r="E35">
        <f t="shared" si="2"/>
        <v>3</v>
      </c>
      <c r="F35">
        <v>71</v>
      </c>
      <c r="G35">
        <f t="shared" si="3"/>
        <v>7.5</v>
      </c>
      <c r="H35">
        <v>1</v>
      </c>
      <c r="I35" t="s">
        <v>32</v>
      </c>
      <c r="J35">
        <v>0</v>
      </c>
      <c r="K35">
        <v>0</v>
      </c>
      <c r="L35">
        <v>0</v>
      </c>
      <c r="M35">
        <v>40</v>
      </c>
      <c r="N35">
        <v>0</v>
      </c>
      <c r="O35">
        <f t="shared" si="4"/>
        <v>40</v>
      </c>
      <c r="P35">
        <v>0</v>
      </c>
      <c r="Q35">
        <v>0</v>
      </c>
      <c r="R35">
        <v>0</v>
      </c>
      <c r="T35">
        <v>0</v>
      </c>
      <c r="U35">
        <v>0</v>
      </c>
      <c r="V35">
        <v>3210</v>
      </c>
      <c r="W35">
        <v>9</v>
      </c>
      <c r="X35">
        <v>0</v>
      </c>
      <c r="Y35">
        <v>0</v>
      </c>
      <c r="AA35">
        <f t="shared" si="5"/>
        <v>0</v>
      </c>
      <c r="AB35" t="str">
        <f t="shared" si="0"/>
        <v>0</v>
      </c>
      <c r="AC35">
        <f t="shared" si="6"/>
        <v>0</v>
      </c>
      <c r="AD35">
        <f t="shared" si="7"/>
        <v>0</v>
      </c>
      <c r="AE35">
        <f t="shared" si="8"/>
        <v>0</v>
      </c>
      <c r="AF35">
        <f t="shared" si="9"/>
        <v>0</v>
      </c>
    </row>
    <row r="36" spans="1:32" x14ac:dyDescent="0.3">
      <c r="A36">
        <v>39</v>
      </c>
      <c r="B36">
        <v>46.5</v>
      </c>
      <c r="C36">
        <v>145</v>
      </c>
      <c r="D36">
        <f t="shared" si="1"/>
        <v>22.116527942925089</v>
      </c>
      <c r="E36">
        <f t="shared" si="2"/>
        <v>1</v>
      </c>
      <c r="F36">
        <v>54</v>
      </c>
      <c r="G36">
        <f t="shared" si="3"/>
        <v>7.5</v>
      </c>
      <c r="H36">
        <v>0</v>
      </c>
      <c r="J36">
        <v>0</v>
      </c>
      <c r="K36">
        <v>0</v>
      </c>
      <c r="L36">
        <v>1</v>
      </c>
      <c r="M36">
        <v>39</v>
      </c>
      <c r="N36">
        <v>5</v>
      </c>
      <c r="O36">
        <f t="shared" si="4"/>
        <v>39.714285714285715</v>
      </c>
      <c r="P36">
        <v>1</v>
      </c>
      <c r="Q36">
        <v>0</v>
      </c>
      <c r="R36">
        <v>0</v>
      </c>
      <c r="T36">
        <v>0</v>
      </c>
      <c r="U36">
        <v>0</v>
      </c>
      <c r="V36">
        <v>3650</v>
      </c>
      <c r="W36">
        <v>8</v>
      </c>
      <c r="X36">
        <v>1</v>
      </c>
      <c r="Y36">
        <v>0</v>
      </c>
      <c r="AA36">
        <f t="shared" si="5"/>
        <v>0</v>
      </c>
      <c r="AB36" t="str">
        <f t="shared" si="0"/>
        <v>0</v>
      </c>
      <c r="AC36">
        <f t="shared" si="6"/>
        <v>0</v>
      </c>
      <c r="AD36">
        <f t="shared" si="7"/>
        <v>0</v>
      </c>
      <c r="AE36">
        <f t="shared" si="8"/>
        <v>0</v>
      </c>
      <c r="AF36">
        <f t="shared" si="9"/>
        <v>0</v>
      </c>
    </row>
    <row r="37" spans="1:32" x14ac:dyDescent="0.3">
      <c r="A37">
        <v>30</v>
      </c>
      <c r="B37">
        <v>49</v>
      </c>
      <c r="C37">
        <v>162</v>
      </c>
      <c r="D37">
        <f t="shared" si="1"/>
        <v>18.670934308794386</v>
      </c>
      <c r="E37">
        <f t="shared" si="2"/>
        <v>1</v>
      </c>
      <c r="F37">
        <v>60</v>
      </c>
      <c r="G37">
        <f t="shared" si="3"/>
        <v>11</v>
      </c>
      <c r="H37">
        <v>1</v>
      </c>
      <c r="I37" t="s">
        <v>41</v>
      </c>
      <c r="J37">
        <v>0</v>
      </c>
      <c r="K37">
        <v>0</v>
      </c>
      <c r="L37">
        <v>1</v>
      </c>
      <c r="M37">
        <v>38</v>
      </c>
      <c r="N37">
        <v>3</v>
      </c>
      <c r="O37">
        <f t="shared" si="4"/>
        <v>38.428571428571431</v>
      </c>
      <c r="P37">
        <v>0</v>
      </c>
      <c r="Q37">
        <v>0</v>
      </c>
      <c r="R37">
        <v>0</v>
      </c>
      <c r="T37">
        <v>0</v>
      </c>
      <c r="U37">
        <v>0</v>
      </c>
      <c r="V37">
        <v>2730</v>
      </c>
      <c r="W37">
        <v>9</v>
      </c>
      <c r="X37">
        <v>0</v>
      </c>
      <c r="Y37">
        <v>0</v>
      </c>
      <c r="AA37">
        <f t="shared" si="5"/>
        <v>0</v>
      </c>
      <c r="AB37" t="str">
        <f t="shared" si="0"/>
        <v>0</v>
      </c>
      <c r="AC37">
        <f t="shared" si="6"/>
        <v>0</v>
      </c>
      <c r="AD37">
        <f t="shared" si="7"/>
        <v>0</v>
      </c>
      <c r="AE37">
        <f t="shared" si="8"/>
        <v>0</v>
      </c>
      <c r="AF37">
        <f t="shared" si="9"/>
        <v>0</v>
      </c>
    </row>
    <row r="38" spans="1:32" x14ac:dyDescent="0.3">
      <c r="A38">
        <v>33</v>
      </c>
      <c r="B38">
        <v>55</v>
      </c>
      <c r="C38">
        <v>160</v>
      </c>
      <c r="D38">
        <f t="shared" si="1"/>
        <v>21.484374999999996</v>
      </c>
      <c r="E38">
        <f t="shared" si="2"/>
        <v>1</v>
      </c>
      <c r="F38">
        <v>70</v>
      </c>
      <c r="G38">
        <f t="shared" si="3"/>
        <v>15</v>
      </c>
      <c r="H38">
        <v>0</v>
      </c>
      <c r="J38">
        <v>0</v>
      </c>
      <c r="K38">
        <v>0</v>
      </c>
      <c r="L38">
        <v>3</v>
      </c>
      <c r="M38">
        <v>38</v>
      </c>
      <c r="N38">
        <v>5</v>
      </c>
      <c r="O38">
        <f t="shared" si="4"/>
        <v>38.714285714285715</v>
      </c>
      <c r="P38">
        <v>0</v>
      </c>
      <c r="Q38">
        <v>0</v>
      </c>
      <c r="R38">
        <v>0</v>
      </c>
      <c r="T38">
        <v>0</v>
      </c>
      <c r="U38">
        <v>0</v>
      </c>
      <c r="V38">
        <v>2950</v>
      </c>
      <c r="W38">
        <v>9</v>
      </c>
      <c r="X38">
        <v>1</v>
      </c>
      <c r="Y38">
        <v>0</v>
      </c>
      <c r="AA38">
        <f t="shared" si="5"/>
        <v>0</v>
      </c>
      <c r="AB38" t="str">
        <f t="shared" si="0"/>
        <v>0</v>
      </c>
      <c r="AC38">
        <f t="shared" si="6"/>
        <v>0</v>
      </c>
      <c r="AD38">
        <f t="shared" si="7"/>
        <v>0</v>
      </c>
      <c r="AE38">
        <f t="shared" si="8"/>
        <v>0</v>
      </c>
      <c r="AF38">
        <f t="shared" si="9"/>
        <v>0</v>
      </c>
    </row>
    <row r="39" spans="1:32" x14ac:dyDescent="0.3">
      <c r="A39">
        <v>37</v>
      </c>
      <c r="B39">
        <v>68</v>
      </c>
      <c r="C39">
        <v>160</v>
      </c>
      <c r="D39">
        <f t="shared" si="1"/>
        <v>26.562499999999996</v>
      </c>
      <c r="E39">
        <f t="shared" si="2"/>
        <v>3</v>
      </c>
      <c r="F39">
        <v>76</v>
      </c>
      <c r="G39">
        <f t="shared" si="3"/>
        <v>8</v>
      </c>
      <c r="H39">
        <v>1</v>
      </c>
      <c r="I39" t="s">
        <v>32</v>
      </c>
      <c r="J39">
        <v>0</v>
      </c>
      <c r="K39">
        <v>1</v>
      </c>
      <c r="L39">
        <v>1</v>
      </c>
      <c r="M39">
        <v>37</v>
      </c>
      <c r="N39">
        <v>3</v>
      </c>
      <c r="O39">
        <f t="shared" si="4"/>
        <v>37.428571428571431</v>
      </c>
      <c r="P39">
        <v>0</v>
      </c>
      <c r="Q39">
        <v>0</v>
      </c>
      <c r="R39">
        <v>3</v>
      </c>
      <c r="S39" t="s">
        <v>34</v>
      </c>
      <c r="T39">
        <v>0</v>
      </c>
      <c r="U39">
        <v>0</v>
      </c>
      <c r="V39">
        <v>3070</v>
      </c>
      <c r="W39">
        <v>9</v>
      </c>
      <c r="X39">
        <v>1</v>
      </c>
      <c r="Y39">
        <v>0</v>
      </c>
      <c r="AA39">
        <f t="shared" si="5"/>
        <v>0</v>
      </c>
      <c r="AB39" t="str">
        <f t="shared" si="0"/>
        <v>0</v>
      </c>
      <c r="AC39">
        <f t="shared" si="6"/>
        <v>0</v>
      </c>
      <c r="AD39">
        <f t="shared" si="7"/>
        <v>0</v>
      </c>
      <c r="AE39">
        <f t="shared" si="8"/>
        <v>1</v>
      </c>
      <c r="AF39">
        <f t="shared" si="9"/>
        <v>0</v>
      </c>
    </row>
    <row r="40" spans="1:32" x14ac:dyDescent="0.3">
      <c r="A40">
        <v>40</v>
      </c>
      <c r="B40">
        <v>69</v>
      </c>
      <c r="C40">
        <v>158</v>
      </c>
      <c r="D40">
        <f t="shared" si="1"/>
        <v>27.639801313892001</v>
      </c>
      <c r="E40">
        <f t="shared" si="2"/>
        <v>3</v>
      </c>
      <c r="F40">
        <v>84</v>
      </c>
      <c r="G40">
        <f t="shared" si="3"/>
        <v>15</v>
      </c>
      <c r="H40">
        <v>1</v>
      </c>
      <c r="I40" t="s">
        <v>32</v>
      </c>
      <c r="J40">
        <v>0</v>
      </c>
      <c r="K40">
        <v>0</v>
      </c>
      <c r="L40">
        <v>0</v>
      </c>
      <c r="M40">
        <v>37</v>
      </c>
      <c r="N40">
        <v>5</v>
      </c>
      <c r="O40">
        <f t="shared" si="4"/>
        <v>37.714285714285715</v>
      </c>
      <c r="P40">
        <v>0</v>
      </c>
      <c r="Q40">
        <v>0</v>
      </c>
      <c r="R40">
        <v>3</v>
      </c>
      <c r="S40" t="s">
        <v>42</v>
      </c>
      <c r="T40">
        <v>0</v>
      </c>
      <c r="U40">
        <v>0</v>
      </c>
      <c r="V40">
        <v>3290</v>
      </c>
      <c r="W40">
        <v>8</v>
      </c>
      <c r="X40">
        <v>1</v>
      </c>
      <c r="Y40">
        <v>0</v>
      </c>
      <c r="AA40">
        <f t="shared" si="5"/>
        <v>1</v>
      </c>
      <c r="AB40" t="str">
        <f t="shared" si="0"/>
        <v>0</v>
      </c>
      <c r="AC40">
        <f t="shared" si="6"/>
        <v>0</v>
      </c>
      <c r="AD40">
        <f t="shared" si="7"/>
        <v>0</v>
      </c>
      <c r="AE40">
        <f t="shared" si="8"/>
        <v>1</v>
      </c>
      <c r="AF40">
        <f t="shared" si="9"/>
        <v>0</v>
      </c>
    </row>
    <row r="41" spans="1:32" x14ac:dyDescent="0.3">
      <c r="A41">
        <v>16</v>
      </c>
      <c r="B41">
        <v>47</v>
      </c>
      <c r="C41">
        <v>159</v>
      </c>
      <c r="D41">
        <f t="shared" si="1"/>
        <v>18.591036746964122</v>
      </c>
      <c r="E41">
        <f t="shared" si="2"/>
        <v>1</v>
      </c>
      <c r="F41">
        <v>49</v>
      </c>
      <c r="G41">
        <f t="shared" si="3"/>
        <v>2</v>
      </c>
      <c r="H41">
        <v>0</v>
      </c>
      <c r="J41">
        <v>0</v>
      </c>
      <c r="K41">
        <v>0</v>
      </c>
      <c r="L41">
        <v>0</v>
      </c>
      <c r="M41">
        <v>38</v>
      </c>
      <c r="N41">
        <v>2</v>
      </c>
      <c r="O41">
        <f t="shared" si="4"/>
        <v>38.285714285714285</v>
      </c>
      <c r="P41">
        <v>0</v>
      </c>
      <c r="Q41">
        <v>0</v>
      </c>
      <c r="R41">
        <v>0</v>
      </c>
      <c r="T41">
        <v>0</v>
      </c>
      <c r="U41">
        <v>0</v>
      </c>
      <c r="V41">
        <v>2630</v>
      </c>
      <c r="W41">
        <v>9</v>
      </c>
      <c r="X41">
        <v>0</v>
      </c>
      <c r="Y41">
        <v>0</v>
      </c>
      <c r="AA41">
        <f t="shared" si="5"/>
        <v>0</v>
      </c>
      <c r="AB41" t="str">
        <f t="shared" si="0"/>
        <v>0</v>
      </c>
      <c r="AC41">
        <f t="shared" si="6"/>
        <v>0</v>
      </c>
      <c r="AD41">
        <f t="shared" si="7"/>
        <v>0</v>
      </c>
      <c r="AE41">
        <f t="shared" si="8"/>
        <v>0</v>
      </c>
      <c r="AF41">
        <f t="shared" si="9"/>
        <v>0</v>
      </c>
    </row>
    <row r="42" spans="1:32" x14ac:dyDescent="0.3">
      <c r="A42">
        <v>23</v>
      </c>
      <c r="B42">
        <v>57</v>
      </c>
      <c r="C42">
        <v>160</v>
      </c>
      <c r="D42">
        <f t="shared" si="1"/>
        <v>22.265624999999996</v>
      </c>
      <c r="E42">
        <f t="shared" si="2"/>
        <v>1</v>
      </c>
      <c r="F42">
        <v>70</v>
      </c>
      <c r="G42">
        <f t="shared" si="3"/>
        <v>13</v>
      </c>
      <c r="H42">
        <v>0</v>
      </c>
      <c r="J42">
        <v>0</v>
      </c>
      <c r="K42">
        <v>0</v>
      </c>
      <c r="L42">
        <v>0</v>
      </c>
      <c r="M42">
        <v>40</v>
      </c>
      <c r="N42">
        <v>1</v>
      </c>
      <c r="O42">
        <f t="shared" si="4"/>
        <v>40.142857142857146</v>
      </c>
      <c r="P42">
        <v>0</v>
      </c>
      <c r="Q42">
        <v>1</v>
      </c>
      <c r="R42">
        <v>0</v>
      </c>
      <c r="T42">
        <v>0</v>
      </c>
      <c r="U42">
        <v>0</v>
      </c>
      <c r="V42">
        <v>2960</v>
      </c>
      <c r="W42">
        <v>9</v>
      </c>
      <c r="X42">
        <v>1</v>
      </c>
      <c r="Y42">
        <v>0</v>
      </c>
      <c r="AA42">
        <f t="shared" si="5"/>
        <v>0</v>
      </c>
      <c r="AB42" t="str">
        <f t="shared" si="0"/>
        <v>0</v>
      </c>
      <c r="AC42">
        <f t="shared" si="6"/>
        <v>0</v>
      </c>
      <c r="AD42">
        <f t="shared" si="7"/>
        <v>0</v>
      </c>
      <c r="AE42">
        <f t="shared" si="8"/>
        <v>0</v>
      </c>
      <c r="AF42">
        <f t="shared" si="9"/>
        <v>0</v>
      </c>
    </row>
    <row r="43" spans="1:32" x14ac:dyDescent="0.3">
      <c r="A43">
        <v>22</v>
      </c>
      <c r="B43">
        <v>48</v>
      </c>
      <c r="C43">
        <v>155</v>
      </c>
      <c r="D43">
        <f t="shared" si="1"/>
        <v>19.979188345473464</v>
      </c>
      <c r="E43">
        <f t="shared" si="2"/>
        <v>1</v>
      </c>
      <c r="F43">
        <v>71</v>
      </c>
      <c r="G43">
        <f t="shared" si="3"/>
        <v>23</v>
      </c>
      <c r="H43">
        <v>0</v>
      </c>
      <c r="J43">
        <v>0</v>
      </c>
      <c r="K43">
        <v>1</v>
      </c>
      <c r="L43">
        <v>1</v>
      </c>
      <c r="M43">
        <v>38</v>
      </c>
      <c r="N43">
        <v>4</v>
      </c>
      <c r="O43">
        <f t="shared" si="4"/>
        <v>38.571428571428569</v>
      </c>
      <c r="P43">
        <v>0</v>
      </c>
      <c r="Q43">
        <v>0</v>
      </c>
      <c r="R43">
        <v>3</v>
      </c>
      <c r="S43" t="s">
        <v>34</v>
      </c>
      <c r="T43">
        <v>0</v>
      </c>
      <c r="U43">
        <v>0</v>
      </c>
      <c r="V43">
        <v>2550</v>
      </c>
      <c r="W43">
        <v>9</v>
      </c>
      <c r="X43">
        <v>1</v>
      </c>
      <c r="Y43">
        <v>0</v>
      </c>
      <c r="AA43">
        <f t="shared" si="5"/>
        <v>1</v>
      </c>
      <c r="AB43" t="str">
        <f t="shared" si="0"/>
        <v>0</v>
      </c>
      <c r="AC43">
        <f t="shared" si="6"/>
        <v>0</v>
      </c>
      <c r="AD43">
        <f t="shared" si="7"/>
        <v>0</v>
      </c>
      <c r="AE43">
        <f t="shared" si="8"/>
        <v>1</v>
      </c>
      <c r="AF43">
        <f t="shared" si="9"/>
        <v>0</v>
      </c>
    </row>
    <row r="44" spans="1:32" x14ac:dyDescent="0.3">
      <c r="A44">
        <v>26</v>
      </c>
      <c r="B44">
        <v>53</v>
      </c>
      <c r="C44">
        <v>149</v>
      </c>
      <c r="D44">
        <f t="shared" si="1"/>
        <v>23.872798522589072</v>
      </c>
      <c r="E44">
        <f t="shared" si="2"/>
        <v>2</v>
      </c>
      <c r="F44">
        <v>67</v>
      </c>
      <c r="G44">
        <f t="shared" si="3"/>
        <v>14</v>
      </c>
      <c r="H44">
        <v>0</v>
      </c>
      <c r="J44">
        <v>0</v>
      </c>
      <c r="K44">
        <v>1</v>
      </c>
      <c r="L44">
        <v>1</v>
      </c>
      <c r="M44">
        <v>37</v>
      </c>
      <c r="N44">
        <v>5</v>
      </c>
      <c r="O44">
        <f t="shared" si="4"/>
        <v>37.714285714285715</v>
      </c>
      <c r="P44">
        <v>0</v>
      </c>
      <c r="Q44">
        <v>0</v>
      </c>
      <c r="R44">
        <v>3</v>
      </c>
      <c r="S44" t="s">
        <v>34</v>
      </c>
      <c r="T44">
        <v>0</v>
      </c>
      <c r="U44">
        <v>0</v>
      </c>
      <c r="V44">
        <v>3410</v>
      </c>
      <c r="W44">
        <v>9</v>
      </c>
      <c r="X44">
        <v>1</v>
      </c>
      <c r="Y44">
        <v>0</v>
      </c>
      <c r="AA44">
        <f t="shared" si="5"/>
        <v>1</v>
      </c>
      <c r="AB44" t="str">
        <f t="shared" si="0"/>
        <v>2</v>
      </c>
      <c r="AC44">
        <f t="shared" si="6"/>
        <v>0</v>
      </c>
      <c r="AD44">
        <f t="shared" si="7"/>
        <v>0</v>
      </c>
      <c r="AE44">
        <f t="shared" si="8"/>
        <v>1</v>
      </c>
      <c r="AF44">
        <f t="shared" si="9"/>
        <v>0</v>
      </c>
    </row>
    <row r="45" spans="1:32" x14ac:dyDescent="0.3">
      <c r="A45">
        <v>31</v>
      </c>
      <c r="B45">
        <v>50</v>
      </c>
      <c r="C45">
        <v>150</v>
      </c>
      <c r="D45">
        <f t="shared" si="1"/>
        <v>22.222222222222221</v>
      </c>
      <c r="E45">
        <f t="shared" si="2"/>
        <v>1</v>
      </c>
      <c r="F45">
        <v>76</v>
      </c>
      <c r="G45">
        <f t="shared" si="3"/>
        <v>26</v>
      </c>
      <c r="H45">
        <v>0</v>
      </c>
      <c r="J45">
        <v>0</v>
      </c>
      <c r="K45">
        <v>1</v>
      </c>
      <c r="L45">
        <v>1</v>
      </c>
      <c r="M45">
        <v>39</v>
      </c>
      <c r="N45">
        <v>0</v>
      </c>
      <c r="O45">
        <f t="shared" si="4"/>
        <v>39</v>
      </c>
      <c r="P45">
        <v>0</v>
      </c>
      <c r="Q45">
        <v>0</v>
      </c>
      <c r="R45">
        <v>3</v>
      </c>
      <c r="S45" t="s">
        <v>34</v>
      </c>
      <c r="T45">
        <v>0</v>
      </c>
      <c r="U45">
        <v>0</v>
      </c>
      <c r="V45">
        <v>2770</v>
      </c>
      <c r="W45">
        <v>9</v>
      </c>
      <c r="X45">
        <v>1</v>
      </c>
      <c r="Y45">
        <v>0</v>
      </c>
      <c r="AA45">
        <f t="shared" si="5"/>
        <v>1</v>
      </c>
      <c r="AB45" t="str">
        <f t="shared" si="0"/>
        <v>0</v>
      </c>
      <c r="AC45">
        <f t="shared" si="6"/>
        <v>0</v>
      </c>
      <c r="AD45">
        <f t="shared" si="7"/>
        <v>0</v>
      </c>
      <c r="AE45">
        <f t="shared" si="8"/>
        <v>1</v>
      </c>
      <c r="AF45">
        <f t="shared" si="9"/>
        <v>0</v>
      </c>
    </row>
    <row r="46" spans="1:32" x14ac:dyDescent="0.3">
      <c r="A46">
        <v>35</v>
      </c>
      <c r="B46">
        <v>57</v>
      </c>
      <c r="C46">
        <v>164</v>
      </c>
      <c r="D46">
        <f t="shared" si="1"/>
        <v>21.192742415229034</v>
      </c>
      <c r="E46">
        <f t="shared" si="2"/>
        <v>1</v>
      </c>
      <c r="F46">
        <v>73</v>
      </c>
      <c r="G46">
        <f t="shared" si="3"/>
        <v>16</v>
      </c>
      <c r="H46">
        <v>0</v>
      </c>
      <c r="J46">
        <v>0</v>
      </c>
      <c r="K46">
        <v>0</v>
      </c>
      <c r="L46">
        <v>1</v>
      </c>
      <c r="M46">
        <v>39</v>
      </c>
      <c r="N46">
        <v>1</v>
      </c>
      <c r="O46">
        <f t="shared" si="4"/>
        <v>39.142857142857146</v>
      </c>
      <c r="P46">
        <v>0</v>
      </c>
      <c r="Q46">
        <v>0</v>
      </c>
      <c r="R46">
        <v>0</v>
      </c>
      <c r="T46">
        <v>0</v>
      </c>
      <c r="U46">
        <v>0</v>
      </c>
      <c r="V46">
        <v>3190</v>
      </c>
      <c r="W46">
        <v>8</v>
      </c>
      <c r="X46">
        <v>1</v>
      </c>
      <c r="Y46">
        <v>0</v>
      </c>
      <c r="AA46">
        <f t="shared" si="5"/>
        <v>1</v>
      </c>
      <c r="AB46" t="str">
        <f t="shared" si="0"/>
        <v>0</v>
      </c>
      <c r="AC46">
        <f t="shared" si="6"/>
        <v>0</v>
      </c>
      <c r="AD46">
        <f t="shared" si="7"/>
        <v>0</v>
      </c>
      <c r="AE46">
        <f t="shared" si="8"/>
        <v>0</v>
      </c>
      <c r="AF46">
        <f t="shared" si="9"/>
        <v>0</v>
      </c>
    </row>
    <row r="47" spans="1:32" x14ac:dyDescent="0.3">
      <c r="A47">
        <v>17</v>
      </c>
      <c r="B47">
        <v>46</v>
      </c>
      <c r="C47">
        <v>171</v>
      </c>
      <c r="D47">
        <f t="shared" si="1"/>
        <v>15.731336137614994</v>
      </c>
      <c r="E47">
        <f t="shared" si="2"/>
        <v>0</v>
      </c>
      <c r="F47">
        <v>70</v>
      </c>
      <c r="G47">
        <f t="shared" si="3"/>
        <v>24</v>
      </c>
      <c r="H47">
        <v>0</v>
      </c>
      <c r="J47">
        <v>0</v>
      </c>
      <c r="K47">
        <v>0</v>
      </c>
      <c r="L47">
        <v>0</v>
      </c>
      <c r="M47">
        <v>37</v>
      </c>
      <c r="N47">
        <v>3</v>
      </c>
      <c r="O47">
        <f t="shared" si="4"/>
        <v>37.428571428571431</v>
      </c>
      <c r="P47">
        <v>0</v>
      </c>
      <c r="Q47">
        <v>0</v>
      </c>
      <c r="R47">
        <v>0</v>
      </c>
      <c r="T47">
        <v>0</v>
      </c>
      <c r="U47">
        <v>0</v>
      </c>
      <c r="V47">
        <v>2630</v>
      </c>
      <c r="W47">
        <v>8</v>
      </c>
      <c r="X47">
        <v>1</v>
      </c>
      <c r="Y47">
        <v>0</v>
      </c>
      <c r="AA47">
        <f t="shared" si="5"/>
        <v>1</v>
      </c>
      <c r="AB47" t="str">
        <f t="shared" si="0"/>
        <v>0</v>
      </c>
      <c r="AC47">
        <f t="shared" si="6"/>
        <v>0</v>
      </c>
      <c r="AD47">
        <f t="shared" si="7"/>
        <v>0</v>
      </c>
      <c r="AE47">
        <f t="shared" si="8"/>
        <v>0</v>
      </c>
      <c r="AF47">
        <f t="shared" si="9"/>
        <v>0</v>
      </c>
    </row>
    <row r="48" spans="1:32" x14ac:dyDescent="0.3">
      <c r="A48">
        <v>26</v>
      </c>
      <c r="B48">
        <v>65</v>
      </c>
      <c r="C48">
        <v>158</v>
      </c>
      <c r="D48">
        <f t="shared" si="1"/>
        <v>26.037493991347535</v>
      </c>
      <c r="E48">
        <f t="shared" si="2"/>
        <v>3</v>
      </c>
      <c r="F48">
        <v>84</v>
      </c>
      <c r="G48">
        <f t="shared" si="3"/>
        <v>19</v>
      </c>
      <c r="H48">
        <v>1</v>
      </c>
      <c r="I48" t="s">
        <v>32</v>
      </c>
      <c r="J48">
        <v>0</v>
      </c>
      <c r="K48">
        <v>0</v>
      </c>
      <c r="L48">
        <v>1</v>
      </c>
      <c r="M48">
        <v>39</v>
      </c>
      <c r="N48">
        <v>1</v>
      </c>
      <c r="O48">
        <f t="shared" si="4"/>
        <v>39.142857142857146</v>
      </c>
      <c r="P48">
        <v>0</v>
      </c>
      <c r="Q48">
        <v>0</v>
      </c>
      <c r="R48">
        <v>0</v>
      </c>
      <c r="T48">
        <v>0</v>
      </c>
      <c r="U48">
        <v>0</v>
      </c>
      <c r="V48">
        <v>3170</v>
      </c>
      <c r="W48">
        <v>8</v>
      </c>
      <c r="X48">
        <v>0</v>
      </c>
      <c r="Y48">
        <v>0</v>
      </c>
      <c r="AA48">
        <f t="shared" si="5"/>
        <v>1</v>
      </c>
      <c r="AB48" t="str">
        <f t="shared" si="0"/>
        <v>0</v>
      </c>
      <c r="AC48">
        <f t="shared" si="6"/>
        <v>0</v>
      </c>
      <c r="AD48">
        <f t="shared" si="7"/>
        <v>0</v>
      </c>
      <c r="AE48">
        <f t="shared" si="8"/>
        <v>0</v>
      </c>
      <c r="AF48">
        <f t="shared" si="9"/>
        <v>0</v>
      </c>
    </row>
    <row r="49" spans="1:32" x14ac:dyDescent="0.3">
      <c r="A49">
        <v>36</v>
      </c>
      <c r="B49">
        <v>57</v>
      </c>
      <c r="C49">
        <v>167</v>
      </c>
      <c r="D49">
        <f t="shared" si="1"/>
        <v>20.43816558499767</v>
      </c>
      <c r="E49">
        <f t="shared" si="2"/>
        <v>1</v>
      </c>
      <c r="F49">
        <v>74</v>
      </c>
      <c r="G49">
        <f t="shared" si="3"/>
        <v>17</v>
      </c>
      <c r="H49">
        <v>0</v>
      </c>
      <c r="J49">
        <v>0</v>
      </c>
      <c r="K49">
        <v>0</v>
      </c>
      <c r="L49">
        <v>1</v>
      </c>
      <c r="M49">
        <v>39</v>
      </c>
      <c r="N49">
        <v>1</v>
      </c>
      <c r="O49">
        <f t="shared" si="4"/>
        <v>39.142857142857146</v>
      </c>
      <c r="P49">
        <v>0</v>
      </c>
      <c r="Q49">
        <v>0</v>
      </c>
      <c r="R49">
        <v>0</v>
      </c>
      <c r="T49">
        <v>0</v>
      </c>
      <c r="U49">
        <v>0</v>
      </c>
      <c r="V49">
        <v>3080</v>
      </c>
      <c r="W49">
        <v>9</v>
      </c>
      <c r="X49">
        <v>0</v>
      </c>
      <c r="Y49">
        <v>0</v>
      </c>
      <c r="AA49">
        <f t="shared" si="5"/>
        <v>1</v>
      </c>
      <c r="AB49" t="str">
        <f t="shared" si="0"/>
        <v>0</v>
      </c>
      <c r="AC49">
        <f t="shared" si="6"/>
        <v>0</v>
      </c>
      <c r="AD49">
        <f t="shared" si="7"/>
        <v>0</v>
      </c>
      <c r="AE49">
        <f t="shared" si="8"/>
        <v>0</v>
      </c>
      <c r="AF49">
        <f t="shared" si="9"/>
        <v>0</v>
      </c>
    </row>
    <row r="50" spans="1:32" x14ac:dyDescent="0.3">
      <c r="A50">
        <v>27</v>
      </c>
      <c r="B50">
        <v>66</v>
      </c>
      <c r="C50">
        <v>165</v>
      </c>
      <c r="D50">
        <f t="shared" si="1"/>
        <v>24.242424242424246</v>
      </c>
      <c r="E50">
        <f t="shared" si="2"/>
        <v>2</v>
      </c>
      <c r="F50">
        <v>84</v>
      </c>
      <c r="G50">
        <f t="shared" si="3"/>
        <v>18</v>
      </c>
      <c r="H50">
        <v>0</v>
      </c>
      <c r="J50">
        <v>0</v>
      </c>
      <c r="K50">
        <v>0</v>
      </c>
      <c r="L50">
        <v>1</v>
      </c>
      <c r="M50">
        <v>39</v>
      </c>
      <c r="N50">
        <v>3</v>
      </c>
      <c r="O50">
        <f t="shared" si="4"/>
        <v>39.428571428571431</v>
      </c>
      <c r="P50">
        <v>0</v>
      </c>
      <c r="Q50">
        <v>0</v>
      </c>
      <c r="R50">
        <v>0</v>
      </c>
      <c r="T50">
        <v>3</v>
      </c>
      <c r="U50">
        <v>0</v>
      </c>
      <c r="V50">
        <v>3860</v>
      </c>
      <c r="W50">
        <v>8</v>
      </c>
      <c r="X50">
        <v>0</v>
      </c>
      <c r="Y50">
        <v>0</v>
      </c>
      <c r="AA50">
        <f t="shared" si="5"/>
        <v>1</v>
      </c>
      <c r="AB50" t="str">
        <f t="shared" si="0"/>
        <v>2</v>
      </c>
      <c r="AC50">
        <f t="shared" si="6"/>
        <v>0</v>
      </c>
      <c r="AD50">
        <f t="shared" si="7"/>
        <v>0</v>
      </c>
      <c r="AE50">
        <f t="shared" si="8"/>
        <v>0</v>
      </c>
      <c r="AF50">
        <f t="shared" si="9"/>
        <v>0</v>
      </c>
    </row>
    <row r="51" spans="1:32" x14ac:dyDescent="0.3">
      <c r="A51">
        <v>45</v>
      </c>
      <c r="B51">
        <v>71</v>
      </c>
      <c r="C51">
        <v>161</v>
      </c>
      <c r="D51">
        <f t="shared" si="1"/>
        <v>27.390918560240728</v>
      </c>
      <c r="E51">
        <f t="shared" si="2"/>
        <v>3</v>
      </c>
      <c r="F51">
        <v>76</v>
      </c>
      <c r="G51">
        <f t="shared" si="3"/>
        <v>5</v>
      </c>
      <c r="H51">
        <v>1</v>
      </c>
      <c r="I51" t="s">
        <v>32</v>
      </c>
      <c r="J51">
        <v>0</v>
      </c>
      <c r="K51">
        <v>1</v>
      </c>
      <c r="L51">
        <v>2</v>
      </c>
      <c r="M51">
        <v>39</v>
      </c>
      <c r="N51">
        <v>0</v>
      </c>
      <c r="O51">
        <f t="shared" si="4"/>
        <v>39</v>
      </c>
      <c r="P51">
        <v>1</v>
      </c>
      <c r="Q51">
        <v>0</v>
      </c>
      <c r="R51">
        <v>3</v>
      </c>
      <c r="S51" t="s">
        <v>34</v>
      </c>
      <c r="T51">
        <v>0</v>
      </c>
      <c r="U51">
        <v>0</v>
      </c>
      <c r="V51">
        <v>3220</v>
      </c>
      <c r="W51">
        <v>9</v>
      </c>
      <c r="X51">
        <v>1</v>
      </c>
      <c r="Y51">
        <v>0</v>
      </c>
      <c r="AA51">
        <f t="shared" si="5"/>
        <v>0</v>
      </c>
      <c r="AB51" t="str">
        <f t="shared" si="0"/>
        <v>0</v>
      </c>
      <c r="AC51">
        <f t="shared" si="6"/>
        <v>0</v>
      </c>
      <c r="AD51">
        <f t="shared" si="7"/>
        <v>0</v>
      </c>
      <c r="AE51">
        <f t="shared" si="8"/>
        <v>1</v>
      </c>
      <c r="AF51">
        <f t="shared" si="9"/>
        <v>0</v>
      </c>
    </row>
    <row r="52" spans="1:32" x14ac:dyDescent="0.3">
      <c r="A52">
        <v>27</v>
      </c>
      <c r="B52">
        <v>55</v>
      </c>
      <c r="C52">
        <v>155</v>
      </c>
      <c r="D52">
        <f t="shared" si="1"/>
        <v>22.892819979188342</v>
      </c>
      <c r="E52">
        <f t="shared" si="2"/>
        <v>1</v>
      </c>
      <c r="F52">
        <v>66</v>
      </c>
      <c r="G52">
        <f t="shared" si="3"/>
        <v>11</v>
      </c>
      <c r="H52">
        <v>0</v>
      </c>
      <c r="J52">
        <v>0</v>
      </c>
      <c r="K52">
        <v>1</v>
      </c>
      <c r="L52">
        <v>1</v>
      </c>
      <c r="M52">
        <v>39</v>
      </c>
      <c r="N52">
        <v>1</v>
      </c>
      <c r="O52">
        <f t="shared" si="4"/>
        <v>39.142857142857146</v>
      </c>
      <c r="P52">
        <v>0</v>
      </c>
      <c r="Q52">
        <v>0</v>
      </c>
      <c r="R52">
        <v>3</v>
      </c>
      <c r="S52" t="s">
        <v>34</v>
      </c>
      <c r="T52">
        <v>0</v>
      </c>
      <c r="U52">
        <v>0</v>
      </c>
      <c r="V52">
        <v>3850</v>
      </c>
      <c r="W52">
        <v>9</v>
      </c>
      <c r="X52">
        <v>1</v>
      </c>
      <c r="Y52">
        <v>0</v>
      </c>
      <c r="AA52">
        <f t="shared" si="5"/>
        <v>0</v>
      </c>
      <c r="AB52" t="str">
        <f t="shared" si="0"/>
        <v>2</v>
      </c>
      <c r="AC52">
        <f t="shared" si="6"/>
        <v>0</v>
      </c>
      <c r="AD52">
        <f t="shared" si="7"/>
        <v>0</v>
      </c>
      <c r="AE52">
        <f t="shared" si="8"/>
        <v>1</v>
      </c>
      <c r="AF52">
        <f t="shared" si="9"/>
        <v>0</v>
      </c>
    </row>
    <row r="53" spans="1:32" x14ac:dyDescent="0.3">
      <c r="A53">
        <v>19</v>
      </c>
      <c r="B53">
        <v>41</v>
      </c>
      <c r="C53">
        <v>156</v>
      </c>
      <c r="D53">
        <f t="shared" si="1"/>
        <v>16.847468770545692</v>
      </c>
      <c r="E53">
        <f t="shared" si="2"/>
        <v>0</v>
      </c>
      <c r="F53">
        <v>54</v>
      </c>
      <c r="G53">
        <f t="shared" si="3"/>
        <v>13</v>
      </c>
      <c r="H53">
        <v>0</v>
      </c>
      <c r="J53">
        <v>0</v>
      </c>
      <c r="K53">
        <v>0</v>
      </c>
      <c r="L53">
        <v>0</v>
      </c>
      <c r="M53">
        <v>39</v>
      </c>
      <c r="N53">
        <v>2</v>
      </c>
      <c r="O53">
        <f t="shared" si="4"/>
        <v>39.285714285714285</v>
      </c>
      <c r="P53">
        <v>0</v>
      </c>
      <c r="Q53">
        <v>0</v>
      </c>
      <c r="R53">
        <v>0</v>
      </c>
      <c r="T53">
        <v>2</v>
      </c>
      <c r="U53">
        <v>0</v>
      </c>
      <c r="V53">
        <v>2590</v>
      </c>
      <c r="W53">
        <v>10</v>
      </c>
      <c r="X53">
        <v>0</v>
      </c>
      <c r="Y53">
        <v>0</v>
      </c>
      <c r="AA53">
        <f t="shared" si="5"/>
        <v>0</v>
      </c>
      <c r="AB53" t="str">
        <f t="shared" si="0"/>
        <v>1</v>
      </c>
      <c r="AC53">
        <f t="shared" si="6"/>
        <v>0</v>
      </c>
      <c r="AD53">
        <f t="shared" si="7"/>
        <v>0</v>
      </c>
      <c r="AE53">
        <f t="shared" si="8"/>
        <v>0</v>
      </c>
      <c r="AF53">
        <f t="shared" si="9"/>
        <v>0</v>
      </c>
    </row>
    <row r="54" spans="1:32" x14ac:dyDescent="0.3">
      <c r="A54">
        <v>37</v>
      </c>
      <c r="B54">
        <v>102</v>
      </c>
      <c r="C54">
        <v>163</v>
      </c>
      <c r="D54">
        <f t="shared" si="1"/>
        <v>38.390605592984308</v>
      </c>
      <c r="E54">
        <f t="shared" si="2"/>
        <v>3</v>
      </c>
      <c r="F54">
        <v>117.3</v>
      </c>
      <c r="G54">
        <f t="shared" si="3"/>
        <v>15.299999999999997</v>
      </c>
      <c r="H54">
        <v>1</v>
      </c>
      <c r="I54" t="s">
        <v>32</v>
      </c>
      <c r="J54">
        <v>0</v>
      </c>
      <c r="K54">
        <v>0</v>
      </c>
      <c r="L54">
        <v>0</v>
      </c>
      <c r="M54">
        <v>40</v>
      </c>
      <c r="N54">
        <v>0</v>
      </c>
      <c r="O54">
        <f t="shared" si="4"/>
        <v>40</v>
      </c>
      <c r="P54">
        <v>0</v>
      </c>
      <c r="Q54">
        <v>1</v>
      </c>
      <c r="R54">
        <v>0</v>
      </c>
      <c r="T54">
        <v>0</v>
      </c>
      <c r="U54">
        <v>0</v>
      </c>
      <c r="V54">
        <v>3380</v>
      </c>
      <c r="W54">
        <v>8</v>
      </c>
      <c r="X54">
        <v>0</v>
      </c>
      <c r="Y54">
        <v>0</v>
      </c>
      <c r="AA54">
        <f t="shared" si="5"/>
        <v>1</v>
      </c>
      <c r="AB54" t="str">
        <f t="shared" si="0"/>
        <v>0</v>
      </c>
      <c r="AC54">
        <f t="shared" si="6"/>
        <v>0</v>
      </c>
      <c r="AD54">
        <f t="shared" si="7"/>
        <v>0</v>
      </c>
      <c r="AE54">
        <f t="shared" si="8"/>
        <v>0</v>
      </c>
      <c r="AF54">
        <f t="shared" si="9"/>
        <v>0</v>
      </c>
    </row>
    <row r="55" spans="1:32" x14ac:dyDescent="0.3">
      <c r="A55">
        <v>36</v>
      </c>
      <c r="B55">
        <v>51</v>
      </c>
      <c r="C55">
        <v>158</v>
      </c>
      <c r="D55">
        <f t="shared" si="1"/>
        <v>20.429418362441915</v>
      </c>
      <c r="E55">
        <f t="shared" si="2"/>
        <v>1</v>
      </c>
      <c r="F55">
        <v>65</v>
      </c>
      <c r="G55">
        <f t="shared" si="3"/>
        <v>14</v>
      </c>
      <c r="H55">
        <v>0</v>
      </c>
      <c r="J55">
        <v>0</v>
      </c>
      <c r="K55">
        <v>1</v>
      </c>
      <c r="L55">
        <v>1</v>
      </c>
      <c r="M55">
        <v>37</v>
      </c>
      <c r="N55">
        <v>1</v>
      </c>
      <c r="O55">
        <f t="shared" si="4"/>
        <v>37.142857142857146</v>
      </c>
      <c r="P55">
        <v>0</v>
      </c>
      <c r="Q55">
        <v>1</v>
      </c>
      <c r="R55">
        <v>3</v>
      </c>
      <c r="S55" t="s">
        <v>34</v>
      </c>
      <c r="T55">
        <v>0</v>
      </c>
      <c r="U55">
        <v>0</v>
      </c>
      <c r="V55">
        <v>2510</v>
      </c>
      <c r="W55">
        <v>9</v>
      </c>
      <c r="X55">
        <v>1</v>
      </c>
      <c r="Y55">
        <v>0</v>
      </c>
      <c r="AA55">
        <f t="shared" si="5"/>
        <v>0</v>
      </c>
      <c r="AB55" t="str">
        <f t="shared" si="0"/>
        <v>0</v>
      </c>
      <c r="AC55">
        <f t="shared" si="6"/>
        <v>0</v>
      </c>
      <c r="AD55">
        <f t="shared" si="7"/>
        <v>0</v>
      </c>
      <c r="AE55">
        <f t="shared" si="8"/>
        <v>1</v>
      </c>
      <c r="AF55">
        <f t="shared" si="9"/>
        <v>0</v>
      </c>
    </row>
    <row r="56" spans="1:32" x14ac:dyDescent="0.3">
      <c r="A56">
        <v>30</v>
      </c>
      <c r="B56">
        <v>50</v>
      </c>
      <c r="C56">
        <v>155</v>
      </c>
      <c r="D56">
        <f t="shared" si="1"/>
        <v>20.811654526534856</v>
      </c>
      <c r="E56">
        <f t="shared" si="2"/>
        <v>1</v>
      </c>
      <c r="F56">
        <v>62</v>
      </c>
      <c r="G56">
        <f t="shared" si="3"/>
        <v>12</v>
      </c>
      <c r="H56">
        <v>0</v>
      </c>
      <c r="J56">
        <v>0</v>
      </c>
      <c r="K56">
        <v>0</v>
      </c>
      <c r="L56">
        <v>1</v>
      </c>
      <c r="M56">
        <v>40</v>
      </c>
      <c r="N56">
        <v>2</v>
      </c>
      <c r="O56">
        <f t="shared" si="4"/>
        <v>40.285714285714285</v>
      </c>
      <c r="P56">
        <v>0</v>
      </c>
      <c r="Q56">
        <v>0</v>
      </c>
      <c r="R56">
        <v>0</v>
      </c>
      <c r="T56">
        <v>0</v>
      </c>
      <c r="U56">
        <v>0</v>
      </c>
      <c r="V56">
        <v>3230</v>
      </c>
      <c r="W56">
        <v>9</v>
      </c>
      <c r="X56">
        <v>0</v>
      </c>
      <c r="Y56">
        <v>0</v>
      </c>
      <c r="AA56">
        <f t="shared" si="5"/>
        <v>0</v>
      </c>
      <c r="AB56" t="str">
        <f t="shared" si="0"/>
        <v>0</v>
      </c>
      <c r="AC56">
        <f t="shared" si="6"/>
        <v>0</v>
      </c>
      <c r="AD56">
        <f t="shared" si="7"/>
        <v>0</v>
      </c>
      <c r="AE56">
        <f t="shared" si="8"/>
        <v>0</v>
      </c>
      <c r="AF56">
        <f t="shared" si="9"/>
        <v>0</v>
      </c>
    </row>
    <row r="57" spans="1:32" x14ac:dyDescent="0.3">
      <c r="A57">
        <v>36</v>
      </c>
      <c r="B57">
        <v>61</v>
      </c>
      <c r="C57">
        <v>147</v>
      </c>
      <c r="D57">
        <f t="shared" si="1"/>
        <v>28.228978666296452</v>
      </c>
      <c r="E57">
        <f t="shared" si="2"/>
        <v>3</v>
      </c>
      <c r="F57">
        <v>70</v>
      </c>
      <c r="G57">
        <f t="shared" si="3"/>
        <v>9</v>
      </c>
      <c r="H57">
        <v>1</v>
      </c>
      <c r="I57" t="s">
        <v>32</v>
      </c>
      <c r="J57">
        <v>0</v>
      </c>
      <c r="K57">
        <v>0</v>
      </c>
      <c r="L57">
        <v>0</v>
      </c>
      <c r="M57">
        <v>40</v>
      </c>
      <c r="N57">
        <v>1</v>
      </c>
      <c r="O57">
        <f t="shared" si="4"/>
        <v>40.142857142857146</v>
      </c>
      <c r="P57">
        <v>1</v>
      </c>
      <c r="Q57">
        <v>0</v>
      </c>
      <c r="R57">
        <v>3</v>
      </c>
      <c r="S57" t="s">
        <v>43</v>
      </c>
      <c r="T57">
        <v>0</v>
      </c>
      <c r="U57">
        <v>0</v>
      </c>
      <c r="V57">
        <v>3640</v>
      </c>
      <c r="W57">
        <v>9</v>
      </c>
      <c r="X57">
        <v>1</v>
      </c>
      <c r="Y57">
        <v>0</v>
      </c>
      <c r="AA57">
        <f t="shared" si="5"/>
        <v>0</v>
      </c>
      <c r="AB57" t="str">
        <f t="shared" si="0"/>
        <v>0</v>
      </c>
      <c r="AC57">
        <f t="shared" si="6"/>
        <v>0</v>
      </c>
      <c r="AD57">
        <f t="shared" si="7"/>
        <v>0</v>
      </c>
      <c r="AE57">
        <f t="shared" si="8"/>
        <v>1</v>
      </c>
      <c r="AF57">
        <f t="shared" si="9"/>
        <v>0</v>
      </c>
    </row>
    <row r="58" spans="1:32" x14ac:dyDescent="0.3">
      <c r="A58">
        <v>23</v>
      </c>
      <c r="B58">
        <v>48</v>
      </c>
      <c r="C58">
        <v>158</v>
      </c>
      <c r="D58">
        <f t="shared" si="1"/>
        <v>19.227687870533565</v>
      </c>
      <c r="E58">
        <f t="shared" si="2"/>
        <v>1</v>
      </c>
      <c r="F58">
        <v>62</v>
      </c>
      <c r="G58">
        <f t="shared" si="3"/>
        <v>14</v>
      </c>
      <c r="H58">
        <v>0</v>
      </c>
      <c r="J58">
        <v>0</v>
      </c>
      <c r="K58">
        <v>0</v>
      </c>
      <c r="L58">
        <v>0</v>
      </c>
      <c r="M58">
        <v>38</v>
      </c>
      <c r="N58">
        <v>5</v>
      </c>
      <c r="O58">
        <f t="shared" si="4"/>
        <v>38.714285714285715</v>
      </c>
      <c r="P58">
        <v>0</v>
      </c>
      <c r="Q58">
        <v>0</v>
      </c>
      <c r="R58">
        <v>0</v>
      </c>
      <c r="T58">
        <v>0</v>
      </c>
      <c r="U58">
        <v>0</v>
      </c>
      <c r="V58">
        <v>3340</v>
      </c>
      <c r="W58">
        <v>9</v>
      </c>
      <c r="X58">
        <v>1</v>
      </c>
      <c r="Y58">
        <v>0</v>
      </c>
      <c r="AA58">
        <f t="shared" si="5"/>
        <v>0</v>
      </c>
      <c r="AB58" t="str">
        <f t="shared" si="0"/>
        <v>0</v>
      </c>
      <c r="AC58">
        <f t="shared" si="6"/>
        <v>0</v>
      </c>
      <c r="AD58">
        <f t="shared" si="7"/>
        <v>0</v>
      </c>
      <c r="AE58">
        <f t="shared" si="8"/>
        <v>0</v>
      </c>
      <c r="AF58">
        <f t="shared" si="9"/>
        <v>0</v>
      </c>
    </row>
    <row r="59" spans="1:32" x14ac:dyDescent="0.3">
      <c r="A59">
        <v>34</v>
      </c>
      <c r="B59">
        <v>53</v>
      </c>
      <c r="C59">
        <v>155</v>
      </c>
      <c r="D59">
        <f t="shared" si="1"/>
        <v>22.060353798126947</v>
      </c>
      <c r="E59">
        <f t="shared" si="2"/>
        <v>1</v>
      </c>
      <c r="F59">
        <v>76</v>
      </c>
      <c r="G59">
        <f t="shared" si="3"/>
        <v>23</v>
      </c>
      <c r="H59">
        <v>0</v>
      </c>
      <c r="J59">
        <v>0</v>
      </c>
      <c r="K59">
        <v>1</v>
      </c>
      <c r="L59">
        <v>2</v>
      </c>
      <c r="M59">
        <v>39</v>
      </c>
      <c r="N59">
        <v>0</v>
      </c>
      <c r="O59">
        <f t="shared" si="4"/>
        <v>39</v>
      </c>
      <c r="P59">
        <v>0</v>
      </c>
      <c r="Q59">
        <v>0</v>
      </c>
      <c r="R59">
        <v>3</v>
      </c>
      <c r="S59" t="s">
        <v>34</v>
      </c>
      <c r="T59">
        <v>0</v>
      </c>
      <c r="U59">
        <v>0</v>
      </c>
      <c r="V59">
        <v>3940</v>
      </c>
      <c r="W59">
        <v>9</v>
      </c>
      <c r="X59">
        <v>1</v>
      </c>
      <c r="Y59">
        <v>0</v>
      </c>
      <c r="AA59">
        <f t="shared" si="5"/>
        <v>1</v>
      </c>
      <c r="AB59" t="str">
        <f t="shared" si="0"/>
        <v>2</v>
      </c>
      <c r="AC59">
        <f t="shared" si="6"/>
        <v>0</v>
      </c>
      <c r="AD59">
        <f t="shared" si="7"/>
        <v>0</v>
      </c>
      <c r="AE59">
        <f t="shared" si="8"/>
        <v>1</v>
      </c>
      <c r="AF59">
        <f t="shared" si="9"/>
        <v>0</v>
      </c>
    </row>
    <row r="60" spans="1:32" x14ac:dyDescent="0.3">
      <c r="A60">
        <v>28</v>
      </c>
      <c r="B60">
        <v>52</v>
      </c>
      <c r="C60">
        <v>165</v>
      </c>
      <c r="D60">
        <f t="shared" si="1"/>
        <v>19.100091827364558</v>
      </c>
      <c r="E60">
        <f t="shared" si="2"/>
        <v>1</v>
      </c>
      <c r="F60">
        <v>66</v>
      </c>
      <c r="G60">
        <f t="shared" si="3"/>
        <v>14</v>
      </c>
      <c r="H60">
        <v>1</v>
      </c>
      <c r="I60" t="s">
        <v>44</v>
      </c>
      <c r="J60">
        <v>0</v>
      </c>
      <c r="K60">
        <v>0</v>
      </c>
      <c r="L60">
        <v>1</v>
      </c>
      <c r="M60">
        <v>39</v>
      </c>
      <c r="N60">
        <v>0</v>
      </c>
      <c r="O60">
        <f t="shared" si="4"/>
        <v>39</v>
      </c>
      <c r="P60">
        <v>0</v>
      </c>
      <c r="Q60">
        <v>0</v>
      </c>
      <c r="R60">
        <v>3</v>
      </c>
      <c r="S60" t="s">
        <v>35</v>
      </c>
      <c r="T60">
        <v>0</v>
      </c>
      <c r="U60">
        <v>0</v>
      </c>
      <c r="V60">
        <v>3400</v>
      </c>
      <c r="W60">
        <v>9</v>
      </c>
      <c r="X60">
        <v>1</v>
      </c>
      <c r="Y60">
        <v>0</v>
      </c>
      <c r="AA60">
        <f t="shared" si="5"/>
        <v>0</v>
      </c>
      <c r="AB60" t="str">
        <f t="shared" si="0"/>
        <v>0</v>
      </c>
      <c r="AC60">
        <f t="shared" si="6"/>
        <v>0</v>
      </c>
      <c r="AD60">
        <f t="shared" si="7"/>
        <v>0</v>
      </c>
      <c r="AE60">
        <f t="shared" si="8"/>
        <v>1</v>
      </c>
      <c r="AF60">
        <f t="shared" si="9"/>
        <v>0</v>
      </c>
    </row>
    <row r="61" spans="1:32" x14ac:dyDescent="0.3">
      <c r="A61">
        <v>22</v>
      </c>
      <c r="B61">
        <v>41</v>
      </c>
      <c r="C61">
        <v>154</v>
      </c>
      <c r="D61">
        <f t="shared" si="1"/>
        <v>17.287906898296509</v>
      </c>
      <c r="E61">
        <f t="shared" si="2"/>
        <v>0</v>
      </c>
      <c r="F61">
        <v>52</v>
      </c>
      <c r="G61">
        <f t="shared" si="3"/>
        <v>11</v>
      </c>
      <c r="H61">
        <v>0</v>
      </c>
      <c r="J61">
        <v>0</v>
      </c>
      <c r="K61">
        <v>0</v>
      </c>
      <c r="L61">
        <v>0</v>
      </c>
      <c r="M61">
        <v>40</v>
      </c>
      <c r="N61">
        <v>1</v>
      </c>
      <c r="O61">
        <f t="shared" si="4"/>
        <v>40.142857142857146</v>
      </c>
      <c r="P61">
        <v>0</v>
      </c>
      <c r="Q61">
        <v>1</v>
      </c>
      <c r="R61">
        <v>0</v>
      </c>
      <c r="T61">
        <v>0</v>
      </c>
      <c r="U61">
        <v>0</v>
      </c>
      <c r="V61">
        <v>2780</v>
      </c>
      <c r="W61">
        <v>9</v>
      </c>
      <c r="X61">
        <v>1</v>
      </c>
      <c r="Y61">
        <v>0</v>
      </c>
      <c r="AA61">
        <f t="shared" si="5"/>
        <v>0</v>
      </c>
      <c r="AB61" t="str">
        <f t="shared" si="0"/>
        <v>1</v>
      </c>
      <c r="AC61">
        <f t="shared" si="6"/>
        <v>0</v>
      </c>
      <c r="AD61">
        <f t="shared" si="7"/>
        <v>0</v>
      </c>
      <c r="AE61">
        <f t="shared" si="8"/>
        <v>0</v>
      </c>
      <c r="AF61">
        <f t="shared" si="9"/>
        <v>0</v>
      </c>
    </row>
    <row r="62" spans="1:32" x14ac:dyDescent="0.3">
      <c r="A62">
        <v>17</v>
      </c>
      <c r="B62">
        <v>54</v>
      </c>
      <c r="C62">
        <v>166</v>
      </c>
      <c r="D62">
        <f t="shared" si="1"/>
        <v>19.596458121643199</v>
      </c>
      <c r="E62">
        <f t="shared" si="2"/>
        <v>1</v>
      </c>
      <c r="F62">
        <v>67</v>
      </c>
      <c r="G62">
        <f t="shared" si="3"/>
        <v>13</v>
      </c>
      <c r="H62">
        <v>0</v>
      </c>
      <c r="J62">
        <v>0</v>
      </c>
      <c r="K62">
        <v>0</v>
      </c>
      <c r="L62">
        <v>0</v>
      </c>
      <c r="M62">
        <v>38</v>
      </c>
      <c r="N62">
        <v>3</v>
      </c>
      <c r="O62">
        <f t="shared" si="4"/>
        <v>38.428571428571431</v>
      </c>
      <c r="P62">
        <v>0</v>
      </c>
      <c r="Q62">
        <v>0</v>
      </c>
      <c r="R62">
        <v>0</v>
      </c>
      <c r="T62">
        <v>0</v>
      </c>
      <c r="U62">
        <v>0</v>
      </c>
      <c r="V62">
        <v>3300</v>
      </c>
      <c r="W62">
        <v>9</v>
      </c>
      <c r="X62">
        <v>0</v>
      </c>
      <c r="Y62">
        <v>0</v>
      </c>
      <c r="AA62">
        <f t="shared" si="5"/>
        <v>0</v>
      </c>
      <c r="AB62" t="str">
        <f t="shared" si="0"/>
        <v>0</v>
      </c>
      <c r="AC62">
        <f t="shared" si="6"/>
        <v>0</v>
      </c>
      <c r="AD62">
        <f t="shared" si="7"/>
        <v>0</v>
      </c>
      <c r="AE62">
        <f t="shared" si="8"/>
        <v>0</v>
      </c>
      <c r="AF62">
        <f t="shared" si="9"/>
        <v>0</v>
      </c>
    </row>
    <row r="63" spans="1:32" x14ac:dyDescent="0.3">
      <c r="A63">
        <v>33</v>
      </c>
      <c r="B63">
        <v>42</v>
      </c>
      <c r="C63">
        <v>159</v>
      </c>
      <c r="D63">
        <f t="shared" si="1"/>
        <v>16.613266880265812</v>
      </c>
      <c r="E63">
        <f t="shared" si="2"/>
        <v>0</v>
      </c>
      <c r="F63">
        <v>53</v>
      </c>
      <c r="G63">
        <f t="shared" si="3"/>
        <v>11</v>
      </c>
      <c r="H63">
        <v>0</v>
      </c>
      <c r="J63">
        <v>0</v>
      </c>
      <c r="K63">
        <v>0</v>
      </c>
      <c r="L63">
        <v>2</v>
      </c>
      <c r="M63">
        <v>39</v>
      </c>
      <c r="N63">
        <v>1</v>
      </c>
      <c r="O63">
        <f t="shared" si="4"/>
        <v>39.142857142857146</v>
      </c>
      <c r="P63">
        <v>0</v>
      </c>
      <c r="Q63">
        <v>0</v>
      </c>
      <c r="R63">
        <v>0</v>
      </c>
      <c r="T63">
        <v>1</v>
      </c>
      <c r="U63">
        <v>0</v>
      </c>
      <c r="V63">
        <v>2960</v>
      </c>
      <c r="W63">
        <v>9</v>
      </c>
      <c r="X63">
        <v>0</v>
      </c>
      <c r="Y63">
        <v>1</v>
      </c>
      <c r="Z63" t="s">
        <v>40</v>
      </c>
      <c r="AA63">
        <f t="shared" si="5"/>
        <v>0</v>
      </c>
      <c r="AB63" t="str">
        <f t="shared" si="0"/>
        <v>0</v>
      </c>
      <c r="AC63">
        <f t="shared" si="6"/>
        <v>0</v>
      </c>
      <c r="AD63">
        <f t="shared" si="7"/>
        <v>0</v>
      </c>
      <c r="AE63">
        <f t="shared" si="8"/>
        <v>0</v>
      </c>
      <c r="AF63">
        <f t="shared" si="9"/>
        <v>0</v>
      </c>
    </row>
    <row r="64" spans="1:32" x14ac:dyDescent="0.3">
      <c r="A64">
        <v>30</v>
      </c>
      <c r="B64">
        <v>52</v>
      </c>
      <c r="C64">
        <v>156</v>
      </c>
      <c r="D64">
        <f t="shared" si="1"/>
        <v>21.367521367521366</v>
      </c>
      <c r="E64">
        <f t="shared" si="2"/>
        <v>1</v>
      </c>
      <c r="F64">
        <v>66</v>
      </c>
      <c r="G64">
        <f t="shared" si="3"/>
        <v>14</v>
      </c>
      <c r="H64">
        <v>0</v>
      </c>
      <c r="J64">
        <v>0</v>
      </c>
      <c r="K64">
        <v>0</v>
      </c>
      <c r="L64">
        <v>1</v>
      </c>
      <c r="M64">
        <v>40</v>
      </c>
      <c r="N64">
        <v>0</v>
      </c>
      <c r="O64">
        <f t="shared" si="4"/>
        <v>40</v>
      </c>
      <c r="P64">
        <v>0</v>
      </c>
      <c r="Q64">
        <v>0</v>
      </c>
      <c r="R64">
        <v>0</v>
      </c>
      <c r="T64">
        <v>0</v>
      </c>
      <c r="U64">
        <v>0</v>
      </c>
      <c r="V64">
        <v>2590</v>
      </c>
      <c r="W64">
        <v>8</v>
      </c>
      <c r="X64">
        <v>1</v>
      </c>
      <c r="Y64">
        <v>0</v>
      </c>
      <c r="AA64">
        <f t="shared" si="5"/>
        <v>0</v>
      </c>
      <c r="AB64" t="str">
        <f t="shared" si="0"/>
        <v>1</v>
      </c>
      <c r="AC64">
        <f t="shared" si="6"/>
        <v>0</v>
      </c>
      <c r="AD64">
        <f t="shared" si="7"/>
        <v>0</v>
      </c>
      <c r="AE64">
        <f t="shared" si="8"/>
        <v>0</v>
      </c>
      <c r="AF64">
        <f t="shared" si="9"/>
        <v>0</v>
      </c>
    </row>
    <row r="65" spans="1:32" x14ac:dyDescent="0.3">
      <c r="A65">
        <v>29</v>
      </c>
      <c r="B65">
        <v>49</v>
      </c>
      <c r="C65">
        <v>160</v>
      </c>
      <c r="D65">
        <f t="shared" si="1"/>
        <v>19.140624999999996</v>
      </c>
      <c r="E65">
        <f t="shared" si="2"/>
        <v>1</v>
      </c>
      <c r="F65">
        <v>71</v>
      </c>
      <c r="G65">
        <f t="shared" si="3"/>
        <v>22</v>
      </c>
      <c r="H65">
        <v>0</v>
      </c>
      <c r="J65">
        <v>0</v>
      </c>
      <c r="K65">
        <v>0</v>
      </c>
      <c r="L65">
        <v>0</v>
      </c>
      <c r="M65">
        <v>39</v>
      </c>
      <c r="N65">
        <v>2</v>
      </c>
      <c r="O65">
        <f t="shared" si="4"/>
        <v>39.285714285714285</v>
      </c>
      <c r="P65">
        <v>0</v>
      </c>
      <c r="Q65">
        <v>0</v>
      </c>
      <c r="R65">
        <v>0</v>
      </c>
      <c r="T65">
        <v>0</v>
      </c>
      <c r="U65">
        <v>0</v>
      </c>
      <c r="V65">
        <v>3290</v>
      </c>
      <c r="W65">
        <v>8</v>
      </c>
      <c r="X65">
        <v>1</v>
      </c>
      <c r="Y65">
        <v>0</v>
      </c>
      <c r="AA65">
        <f t="shared" si="5"/>
        <v>1</v>
      </c>
      <c r="AB65" t="str">
        <f t="shared" si="0"/>
        <v>0</v>
      </c>
      <c r="AC65">
        <f t="shared" si="6"/>
        <v>0</v>
      </c>
      <c r="AD65">
        <f t="shared" si="7"/>
        <v>0</v>
      </c>
      <c r="AE65">
        <f t="shared" si="8"/>
        <v>0</v>
      </c>
      <c r="AF65">
        <f t="shared" si="9"/>
        <v>0</v>
      </c>
    </row>
    <row r="66" spans="1:32" x14ac:dyDescent="0.3">
      <c r="A66">
        <v>36</v>
      </c>
      <c r="B66">
        <v>44</v>
      </c>
      <c r="C66">
        <v>160</v>
      </c>
      <c r="D66">
        <f t="shared" si="1"/>
        <v>17.187499999999996</v>
      </c>
      <c r="E66">
        <f t="shared" si="2"/>
        <v>0</v>
      </c>
      <c r="F66">
        <v>55</v>
      </c>
      <c r="G66">
        <f t="shared" si="3"/>
        <v>11</v>
      </c>
      <c r="H66">
        <v>0</v>
      </c>
      <c r="J66">
        <v>0</v>
      </c>
      <c r="K66">
        <v>0</v>
      </c>
      <c r="L66">
        <v>1</v>
      </c>
      <c r="M66">
        <v>38</v>
      </c>
      <c r="N66">
        <v>3</v>
      </c>
      <c r="O66">
        <f t="shared" si="4"/>
        <v>38.428571428571431</v>
      </c>
      <c r="P66">
        <v>0</v>
      </c>
      <c r="Q66">
        <v>0</v>
      </c>
      <c r="R66">
        <v>0</v>
      </c>
      <c r="T66">
        <v>2</v>
      </c>
      <c r="U66">
        <v>0</v>
      </c>
      <c r="V66">
        <v>2910</v>
      </c>
      <c r="W66">
        <v>9</v>
      </c>
      <c r="X66">
        <v>0</v>
      </c>
      <c r="Y66">
        <v>0</v>
      </c>
      <c r="AA66">
        <f t="shared" si="5"/>
        <v>0</v>
      </c>
      <c r="AB66" t="str">
        <f t="shared" si="0"/>
        <v>0</v>
      </c>
      <c r="AC66">
        <f t="shared" si="6"/>
        <v>0</v>
      </c>
      <c r="AD66">
        <f t="shared" si="7"/>
        <v>0</v>
      </c>
      <c r="AE66">
        <f t="shared" si="8"/>
        <v>0</v>
      </c>
      <c r="AF66">
        <f t="shared" si="9"/>
        <v>0</v>
      </c>
    </row>
    <row r="67" spans="1:32" x14ac:dyDescent="0.3">
      <c r="A67">
        <v>30</v>
      </c>
      <c r="B67">
        <v>54</v>
      </c>
      <c r="C67">
        <v>160</v>
      </c>
      <c r="D67">
        <f t="shared" si="1"/>
        <v>21.093749999999996</v>
      </c>
      <c r="E67">
        <f t="shared" si="2"/>
        <v>1</v>
      </c>
      <c r="F67">
        <v>65</v>
      </c>
      <c r="G67">
        <f t="shared" si="3"/>
        <v>11</v>
      </c>
      <c r="H67">
        <v>0</v>
      </c>
      <c r="J67">
        <v>0</v>
      </c>
      <c r="K67">
        <v>1</v>
      </c>
      <c r="L67">
        <v>1</v>
      </c>
      <c r="M67">
        <v>38</v>
      </c>
      <c r="N67">
        <v>4</v>
      </c>
      <c r="O67">
        <f t="shared" si="4"/>
        <v>38.571428571428569</v>
      </c>
      <c r="P67">
        <v>0</v>
      </c>
      <c r="Q67">
        <v>0</v>
      </c>
      <c r="R67">
        <v>3</v>
      </c>
      <c r="S67" t="s">
        <v>34</v>
      </c>
      <c r="T67">
        <v>0</v>
      </c>
      <c r="U67">
        <v>0</v>
      </c>
      <c r="V67">
        <v>2510</v>
      </c>
      <c r="W67">
        <v>9</v>
      </c>
      <c r="X67">
        <v>1</v>
      </c>
      <c r="Y67">
        <v>0</v>
      </c>
      <c r="AA67">
        <f t="shared" si="5"/>
        <v>0</v>
      </c>
      <c r="AB67" t="str">
        <f t="shared" si="0"/>
        <v>0</v>
      </c>
      <c r="AC67">
        <f t="shared" si="6"/>
        <v>0</v>
      </c>
      <c r="AD67">
        <f t="shared" si="7"/>
        <v>0</v>
      </c>
      <c r="AE67">
        <f t="shared" si="8"/>
        <v>1</v>
      </c>
      <c r="AF67">
        <f t="shared" si="9"/>
        <v>0</v>
      </c>
    </row>
    <row r="68" spans="1:32" x14ac:dyDescent="0.3">
      <c r="A68">
        <v>25</v>
      </c>
      <c r="B68">
        <v>37</v>
      </c>
      <c r="C68">
        <v>151</v>
      </c>
      <c r="D68">
        <f t="shared" ref="D68:D131" si="10">B68/((C68/100)^2)</f>
        <v>16.227358449190824</v>
      </c>
      <c r="E68">
        <f t="shared" ref="E68:E131" si="11">IF(D68&lt;18.5,0,IF(D68&lt;23,1,IF(D68&lt;25,2,3)))</f>
        <v>0</v>
      </c>
      <c r="F68">
        <v>50</v>
      </c>
      <c r="G68">
        <f t="shared" ref="G68:G131" si="12">F68-B68</f>
        <v>13</v>
      </c>
      <c r="H68">
        <v>0</v>
      </c>
      <c r="J68">
        <v>0</v>
      </c>
      <c r="K68">
        <v>0</v>
      </c>
      <c r="L68">
        <v>1</v>
      </c>
      <c r="M68">
        <v>38</v>
      </c>
      <c r="N68">
        <v>5</v>
      </c>
      <c r="O68">
        <f t="shared" ref="O68:O131" si="13">M68+(N68/7)</f>
        <v>38.714285714285715</v>
      </c>
      <c r="P68">
        <v>0</v>
      </c>
      <c r="Q68">
        <v>0</v>
      </c>
      <c r="R68">
        <v>0</v>
      </c>
      <c r="T68">
        <v>0</v>
      </c>
      <c r="U68">
        <v>0</v>
      </c>
      <c r="V68">
        <v>3060</v>
      </c>
      <c r="W68">
        <v>9</v>
      </c>
      <c r="X68">
        <v>0</v>
      </c>
      <c r="Y68">
        <v>0</v>
      </c>
      <c r="AA68">
        <f t="shared" ref="AA68:AA131" si="14">IF(OR(AND(E68=0,G68&gt;18.2),AND(E68=1,G68&gt;15.9),AND(E68=2,G68&gt;11.3),AND(E68=3,G68&gt;9.1)),1,0)</f>
        <v>0</v>
      </c>
      <c r="AB68" t="str">
        <f t="shared" ref="AB68:AB131" si="15">IF(OR(AND(O68&lt;38,V68&gt;3324),AND(O68&lt;39,V68&gt;3540),AND(O68&lt;40,V68&gt;3726),AND(O68&lt;42,V68&gt;3871)),"2",IF(OR(AND(O68&gt;36.9,V68&lt;2323),AND(O68&gt;37.9,V68&lt;2496),AND(O68&gt;38.9,V68&lt;2658),AND(O68&gt;39.9,V68&lt;2805)),"1","0"))</f>
        <v>0</v>
      </c>
      <c r="AC68">
        <f t="shared" ref="AC68:AC131" si="16">IF(V68&lt;4000,0,1)</f>
        <v>0</v>
      </c>
      <c r="AD68">
        <f t="shared" ref="AD68:AD131" si="17">IF(W68&gt;7,0,1)</f>
        <v>0</v>
      </c>
      <c r="AE68">
        <f t="shared" ref="AE68:AE131" si="18">IF(R68=3,1,0)</f>
        <v>0</v>
      </c>
      <c r="AF68">
        <f t="shared" ref="AF68:AF131" si="19">IF(X68=2,1,0)</f>
        <v>0</v>
      </c>
    </row>
    <row r="69" spans="1:32" x14ac:dyDescent="0.3">
      <c r="A69">
        <v>18</v>
      </c>
      <c r="B69">
        <v>52</v>
      </c>
      <c r="C69">
        <v>158</v>
      </c>
      <c r="D69">
        <f t="shared" si="10"/>
        <v>20.82999519307803</v>
      </c>
      <c r="E69">
        <f t="shared" si="11"/>
        <v>1</v>
      </c>
      <c r="F69">
        <v>57</v>
      </c>
      <c r="G69">
        <f t="shared" si="12"/>
        <v>5</v>
      </c>
      <c r="H69">
        <v>0</v>
      </c>
      <c r="J69">
        <v>0</v>
      </c>
      <c r="K69">
        <v>0</v>
      </c>
      <c r="L69">
        <v>0</v>
      </c>
      <c r="M69">
        <v>40</v>
      </c>
      <c r="N69">
        <v>3</v>
      </c>
      <c r="O69">
        <f t="shared" si="13"/>
        <v>40.428571428571431</v>
      </c>
      <c r="P69">
        <v>0</v>
      </c>
      <c r="Q69">
        <v>0</v>
      </c>
      <c r="R69">
        <v>3</v>
      </c>
      <c r="S69" t="s">
        <v>35</v>
      </c>
      <c r="T69">
        <v>0</v>
      </c>
      <c r="U69">
        <v>0</v>
      </c>
      <c r="V69">
        <v>3510</v>
      </c>
      <c r="W69">
        <v>9</v>
      </c>
      <c r="X69">
        <v>1</v>
      </c>
      <c r="Y69">
        <v>0</v>
      </c>
      <c r="AA69">
        <f t="shared" si="14"/>
        <v>0</v>
      </c>
      <c r="AB69" t="str">
        <f t="shared" si="15"/>
        <v>0</v>
      </c>
      <c r="AC69">
        <f t="shared" si="16"/>
        <v>0</v>
      </c>
      <c r="AD69">
        <f t="shared" si="17"/>
        <v>0</v>
      </c>
      <c r="AE69">
        <f t="shared" si="18"/>
        <v>1</v>
      </c>
      <c r="AF69">
        <f t="shared" si="19"/>
        <v>0</v>
      </c>
    </row>
    <row r="70" spans="1:32" x14ac:dyDescent="0.3">
      <c r="A70">
        <v>19</v>
      </c>
      <c r="B70">
        <v>47</v>
      </c>
      <c r="C70">
        <v>161</v>
      </c>
      <c r="D70">
        <f t="shared" si="10"/>
        <v>18.132016511708652</v>
      </c>
      <c r="E70">
        <f t="shared" si="11"/>
        <v>0</v>
      </c>
      <c r="F70">
        <v>77</v>
      </c>
      <c r="G70">
        <f t="shared" si="12"/>
        <v>30</v>
      </c>
      <c r="H70">
        <v>0</v>
      </c>
      <c r="J70">
        <v>0</v>
      </c>
      <c r="K70">
        <v>0</v>
      </c>
      <c r="L70">
        <v>0</v>
      </c>
      <c r="M70">
        <v>39</v>
      </c>
      <c r="N70">
        <v>3</v>
      </c>
      <c r="O70">
        <f t="shared" si="13"/>
        <v>39.428571428571431</v>
      </c>
      <c r="P70">
        <v>1</v>
      </c>
      <c r="Q70">
        <v>1</v>
      </c>
      <c r="R70">
        <v>0</v>
      </c>
      <c r="T70">
        <v>0</v>
      </c>
      <c r="U70">
        <v>0</v>
      </c>
      <c r="V70">
        <v>3960</v>
      </c>
      <c r="W70">
        <v>9</v>
      </c>
      <c r="X70">
        <v>1</v>
      </c>
      <c r="Y70">
        <v>0</v>
      </c>
      <c r="AA70">
        <f t="shared" si="14"/>
        <v>1</v>
      </c>
      <c r="AB70" t="str">
        <f t="shared" si="15"/>
        <v>2</v>
      </c>
      <c r="AC70">
        <f t="shared" si="16"/>
        <v>0</v>
      </c>
      <c r="AD70">
        <f t="shared" si="17"/>
        <v>0</v>
      </c>
      <c r="AE70">
        <f t="shared" si="18"/>
        <v>0</v>
      </c>
      <c r="AF70">
        <f t="shared" si="19"/>
        <v>0</v>
      </c>
    </row>
    <row r="71" spans="1:32" x14ac:dyDescent="0.3">
      <c r="A71">
        <v>26</v>
      </c>
      <c r="B71">
        <v>49</v>
      </c>
      <c r="C71">
        <v>150</v>
      </c>
      <c r="D71">
        <f t="shared" si="10"/>
        <v>21.777777777777779</v>
      </c>
      <c r="E71">
        <f t="shared" si="11"/>
        <v>1</v>
      </c>
      <c r="F71">
        <v>63</v>
      </c>
      <c r="G71">
        <f t="shared" si="12"/>
        <v>14</v>
      </c>
      <c r="H71">
        <v>0</v>
      </c>
      <c r="J71">
        <v>0</v>
      </c>
      <c r="K71">
        <v>0</v>
      </c>
      <c r="L71">
        <v>2</v>
      </c>
      <c r="M71">
        <v>39</v>
      </c>
      <c r="N71">
        <v>2</v>
      </c>
      <c r="O71">
        <f t="shared" si="13"/>
        <v>39.285714285714285</v>
      </c>
      <c r="P71">
        <v>0</v>
      </c>
      <c r="Q71">
        <v>0</v>
      </c>
      <c r="R71">
        <v>0</v>
      </c>
      <c r="T71">
        <v>0</v>
      </c>
      <c r="U71">
        <v>0</v>
      </c>
      <c r="V71">
        <v>3160</v>
      </c>
      <c r="W71">
        <v>10</v>
      </c>
      <c r="X71">
        <v>0</v>
      </c>
      <c r="Y71">
        <v>0</v>
      </c>
      <c r="AA71">
        <f t="shared" si="14"/>
        <v>0</v>
      </c>
      <c r="AB71" t="str">
        <f t="shared" si="15"/>
        <v>0</v>
      </c>
      <c r="AC71">
        <f t="shared" si="16"/>
        <v>0</v>
      </c>
      <c r="AD71">
        <f t="shared" si="17"/>
        <v>0</v>
      </c>
      <c r="AE71">
        <f t="shared" si="18"/>
        <v>0</v>
      </c>
      <c r="AF71">
        <f t="shared" si="19"/>
        <v>0</v>
      </c>
    </row>
    <row r="72" spans="1:32" x14ac:dyDescent="0.3">
      <c r="A72">
        <v>24</v>
      </c>
      <c r="B72">
        <v>76</v>
      </c>
      <c r="C72">
        <v>166</v>
      </c>
      <c r="D72">
        <f t="shared" si="10"/>
        <v>27.580200319349689</v>
      </c>
      <c r="E72">
        <f t="shared" si="11"/>
        <v>3</v>
      </c>
      <c r="F72">
        <v>96</v>
      </c>
      <c r="G72">
        <f t="shared" si="12"/>
        <v>20</v>
      </c>
      <c r="H72">
        <v>1</v>
      </c>
      <c r="I72" t="s">
        <v>32</v>
      </c>
      <c r="J72">
        <v>1</v>
      </c>
      <c r="K72">
        <v>1</v>
      </c>
      <c r="L72">
        <v>1</v>
      </c>
      <c r="M72">
        <v>38</v>
      </c>
      <c r="N72">
        <v>6</v>
      </c>
      <c r="O72">
        <f t="shared" si="13"/>
        <v>38.857142857142854</v>
      </c>
      <c r="P72">
        <v>1</v>
      </c>
      <c r="Q72">
        <v>0</v>
      </c>
      <c r="R72">
        <v>3</v>
      </c>
      <c r="S72" t="s">
        <v>34</v>
      </c>
      <c r="T72">
        <v>0</v>
      </c>
      <c r="U72">
        <v>0</v>
      </c>
      <c r="V72">
        <v>2590</v>
      </c>
      <c r="W72">
        <v>8</v>
      </c>
      <c r="X72">
        <v>1</v>
      </c>
      <c r="Y72">
        <v>0</v>
      </c>
      <c r="AA72">
        <f t="shared" si="14"/>
        <v>1</v>
      </c>
      <c r="AB72" t="str">
        <f t="shared" si="15"/>
        <v>0</v>
      </c>
      <c r="AC72">
        <f t="shared" si="16"/>
        <v>0</v>
      </c>
      <c r="AD72">
        <f t="shared" si="17"/>
        <v>0</v>
      </c>
      <c r="AE72">
        <f t="shared" si="18"/>
        <v>1</v>
      </c>
      <c r="AF72">
        <f t="shared" si="19"/>
        <v>0</v>
      </c>
    </row>
    <row r="73" spans="1:32" x14ac:dyDescent="0.3">
      <c r="A73">
        <v>38</v>
      </c>
      <c r="B73">
        <v>46</v>
      </c>
      <c r="C73">
        <v>155</v>
      </c>
      <c r="D73">
        <f t="shared" si="10"/>
        <v>19.146722164412068</v>
      </c>
      <c r="E73">
        <f t="shared" si="11"/>
        <v>1</v>
      </c>
      <c r="F73">
        <v>67</v>
      </c>
      <c r="G73">
        <f t="shared" si="12"/>
        <v>21</v>
      </c>
      <c r="H73">
        <v>1</v>
      </c>
      <c r="I73" t="s">
        <v>45</v>
      </c>
      <c r="J73">
        <v>0</v>
      </c>
      <c r="K73">
        <v>0</v>
      </c>
      <c r="L73">
        <v>2</v>
      </c>
      <c r="M73">
        <v>37</v>
      </c>
      <c r="N73">
        <v>3</v>
      </c>
      <c r="O73">
        <f t="shared" si="13"/>
        <v>37.428571428571431</v>
      </c>
      <c r="P73">
        <v>0</v>
      </c>
      <c r="Q73">
        <v>1</v>
      </c>
      <c r="R73">
        <v>0</v>
      </c>
      <c r="T73">
        <v>0</v>
      </c>
      <c r="U73">
        <v>0</v>
      </c>
      <c r="V73">
        <v>2480</v>
      </c>
      <c r="W73">
        <v>9</v>
      </c>
      <c r="X73">
        <v>1</v>
      </c>
      <c r="Y73">
        <v>0</v>
      </c>
      <c r="AA73">
        <f t="shared" si="14"/>
        <v>1</v>
      </c>
      <c r="AB73" t="str">
        <f t="shared" si="15"/>
        <v>0</v>
      </c>
      <c r="AC73">
        <f t="shared" si="16"/>
        <v>0</v>
      </c>
      <c r="AD73">
        <f t="shared" si="17"/>
        <v>0</v>
      </c>
      <c r="AE73">
        <f t="shared" si="18"/>
        <v>0</v>
      </c>
      <c r="AF73">
        <f t="shared" si="19"/>
        <v>0</v>
      </c>
    </row>
    <row r="74" spans="1:32" x14ac:dyDescent="0.3">
      <c r="A74">
        <v>17</v>
      </c>
      <c r="B74">
        <v>51</v>
      </c>
      <c r="C74">
        <v>145</v>
      </c>
      <c r="D74">
        <f t="shared" si="10"/>
        <v>24.256837098692031</v>
      </c>
      <c r="E74">
        <f t="shared" si="11"/>
        <v>2</v>
      </c>
      <c r="F74">
        <v>60</v>
      </c>
      <c r="G74">
        <f t="shared" si="12"/>
        <v>9</v>
      </c>
      <c r="H74">
        <v>0</v>
      </c>
      <c r="J74">
        <v>0</v>
      </c>
      <c r="K74">
        <v>0</v>
      </c>
      <c r="L74">
        <v>0</v>
      </c>
      <c r="M74">
        <v>38</v>
      </c>
      <c r="N74">
        <v>6</v>
      </c>
      <c r="O74">
        <f t="shared" si="13"/>
        <v>38.857142857142854</v>
      </c>
      <c r="P74">
        <v>0</v>
      </c>
      <c r="Q74">
        <v>0</v>
      </c>
      <c r="R74">
        <v>0</v>
      </c>
      <c r="T74">
        <v>0</v>
      </c>
      <c r="U74">
        <v>0</v>
      </c>
      <c r="V74">
        <v>3130</v>
      </c>
      <c r="W74">
        <v>9</v>
      </c>
      <c r="X74">
        <v>1</v>
      </c>
      <c r="Y74">
        <v>0</v>
      </c>
      <c r="AA74">
        <f t="shared" si="14"/>
        <v>0</v>
      </c>
      <c r="AB74" t="str">
        <f t="shared" si="15"/>
        <v>0</v>
      </c>
      <c r="AC74">
        <f t="shared" si="16"/>
        <v>0</v>
      </c>
      <c r="AD74">
        <f t="shared" si="17"/>
        <v>0</v>
      </c>
      <c r="AE74">
        <f t="shared" si="18"/>
        <v>0</v>
      </c>
      <c r="AF74">
        <f t="shared" si="19"/>
        <v>0</v>
      </c>
    </row>
    <row r="75" spans="1:32" x14ac:dyDescent="0.3">
      <c r="A75">
        <v>29</v>
      </c>
      <c r="B75">
        <v>65</v>
      </c>
      <c r="C75">
        <v>161</v>
      </c>
      <c r="D75">
        <f t="shared" si="10"/>
        <v>25.076193048107708</v>
      </c>
      <c r="E75">
        <f t="shared" si="11"/>
        <v>3</v>
      </c>
      <c r="F75">
        <v>80</v>
      </c>
      <c r="G75">
        <f t="shared" si="12"/>
        <v>15</v>
      </c>
      <c r="H75">
        <v>1</v>
      </c>
      <c r="I75" t="s">
        <v>32</v>
      </c>
      <c r="J75">
        <v>0</v>
      </c>
      <c r="K75">
        <v>1</v>
      </c>
      <c r="L75">
        <v>1</v>
      </c>
      <c r="M75">
        <v>39</v>
      </c>
      <c r="N75">
        <v>1</v>
      </c>
      <c r="O75">
        <f t="shared" si="13"/>
        <v>39.142857142857146</v>
      </c>
      <c r="P75">
        <v>0</v>
      </c>
      <c r="Q75">
        <v>0</v>
      </c>
      <c r="R75">
        <v>3</v>
      </c>
      <c r="S75" t="s">
        <v>34</v>
      </c>
      <c r="T75">
        <v>0</v>
      </c>
      <c r="U75">
        <v>0</v>
      </c>
      <c r="V75">
        <v>2890</v>
      </c>
      <c r="W75">
        <v>8</v>
      </c>
      <c r="X75">
        <v>1</v>
      </c>
      <c r="Y75">
        <v>0</v>
      </c>
      <c r="AA75">
        <f t="shared" si="14"/>
        <v>1</v>
      </c>
      <c r="AB75" t="str">
        <f t="shared" si="15"/>
        <v>0</v>
      </c>
      <c r="AC75">
        <f t="shared" si="16"/>
        <v>0</v>
      </c>
      <c r="AD75">
        <f t="shared" si="17"/>
        <v>0</v>
      </c>
      <c r="AE75">
        <f t="shared" si="18"/>
        <v>1</v>
      </c>
      <c r="AF75">
        <f t="shared" si="19"/>
        <v>0</v>
      </c>
    </row>
    <row r="76" spans="1:32" x14ac:dyDescent="0.3">
      <c r="A76">
        <v>22</v>
      </c>
      <c r="B76">
        <v>62</v>
      </c>
      <c r="C76">
        <v>155</v>
      </c>
      <c r="D76">
        <f t="shared" si="10"/>
        <v>25.806451612903224</v>
      </c>
      <c r="E76">
        <f t="shared" si="11"/>
        <v>3</v>
      </c>
      <c r="F76">
        <v>67</v>
      </c>
      <c r="G76">
        <f t="shared" si="12"/>
        <v>5</v>
      </c>
      <c r="H76">
        <v>1</v>
      </c>
      <c r="I76" t="s">
        <v>32</v>
      </c>
      <c r="J76">
        <v>0</v>
      </c>
      <c r="K76">
        <v>0</v>
      </c>
      <c r="L76">
        <v>0</v>
      </c>
      <c r="M76">
        <v>39</v>
      </c>
      <c r="N76">
        <v>4</v>
      </c>
      <c r="O76">
        <f t="shared" si="13"/>
        <v>39.571428571428569</v>
      </c>
      <c r="P76">
        <v>0</v>
      </c>
      <c r="Q76">
        <v>0</v>
      </c>
      <c r="R76">
        <v>0</v>
      </c>
      <c r="T76">
        <v>0</v>
      </c>
      <c r="U76">
        <v>0</v>
      </c>
      <c r="V76">
        <v>2810</v>
      </c>
      <c r="W76">
        <v>9</v>
      </c>
      <c r="X76">
        <v>0</v>
      </c>
      <c r="Y76">
        <v>0</v>
      </c>
      <c r="AA76">
        <f t="shared" si="14"/>
        <v>0</v>
      </c>
      <c r="AB76" t="str">
        <f t="shared" si="15"/>
        <v>0</v>
      </c>
      <c r="AC76">
        <f t="shared" si="16"/>
        <v>0</v>
      </c>
      <c r="AD76">
        <f t="shared" si="17"/>
        <v>0</v>
      </c>
      <c r="AE76">
        <f t="shared" si="18"/>
        <v>0</v>
      </c>
      <c r="AF76">
        <f t="shared" si="19"/>
        <v>0</v>
      </c>
    </row>
    <row r="77" spans="1:32" x14ac:dyDescent="0.3">
      <c r="A77">
        <v>29</v>
      </c>
      <c r="B77">
        <v>73</v>
      </c>
      <c r="C77">
        <v>160</v>
      </c>
      <c r="D77">
        <f t="shared" si="10"/>
        <v>28.515624999999993</v>
      </c>
      <c r="E77">
        <f t="shared" si="11"/>
        <v>3</v>
      </c>
      <c r="F77">
        <v>80.5</v>
      </c>
      <c r="G77">
        <f t="shared" si="12"/>
        <v>7.5</v>
      </c>
      <c r="H77">
        <v>1</v>
      </c>
      <c r="I77" t="s">
        <v>32</v>
      </c>
      <c r="J77">
        <v>0</v>
      </c>
      <c r="K77">
        <v>0</v>
      </c>
      <c r="L77">
        <v>1</v>
      </c>
      <c r="M77">
        <v>38</v>
      </c>
      <c r="N77">
        <v>5</v>
      </c>
      <c r="O77">
        <f t="shared" si="13"/>
        <v>38.714285714285715</v>
      </c>
      <c r="P77">
        <v>0</v>
      </c>
      <c r="Q77">
        <v>0</v>
      </c>
      <c r="R77">
        <v>0</v>
      </c>
      <c r="T77">
        <v>0</v>
      </c>
      <c r="U77">
        <v>0</v>
      </c>
      <c r="V77">
        <v>2600</v>
      </c>
      <c r="W77">
        <v>9</v>
      </c>
      <c r="X77">
        <v>0</v>
      </c>
      <c r="Y77">
        <v>0</v>
      </c>
      <c r="AA77">
        <f t="shared" si="14"/>
        <v>0</v>
      </c>
      <c r="AB77" t="str">
        <f t="shared" si="15"/>
        <v>0</v>
      </c>
      <c r="AC77">
        <f t="shared" si="16"/>
        <v>0</v>
      </c>
      <c r="AD77">
        <f t="shared" si="17"/>
        <v>0</v>
      </c>
      <c r="AE77">
        <f t="shared" si="18"/>
        <v>0</v>
      </c>
      <c r="AF77">
        <f t="shared" si="19"/>
        <v>0</v>
      </c>
    </row>
    <row r="78" spans="1:32" x14ac:dyDescent="0.3">
      <c r="A78">
        <v>29</v>
      </c>
      <c r="B78">
        <v>80</v>
      </c>
      <c r="C78">
        <v>153</v>
      </c>
      <c r="D78">
        <f t="shared" si="10"/>
        <v>34.174889999572812</v>
      </c>
      <c r="E78">
        <f t="shared" si="11"/>
        <v>3</v>
      </c>
      <c r="F78">
        <v>88</v>
      </c>
      <c r="G78">
        <f t="shared" si="12"/>
        <v>8</v>
      </c>
      <c r="H78">
        <v>1</v>
      </c>
      <c r="I78" t="s">
        <v>32</v>
      </c>
      <c r="J78">
        <v>0</v>
      </c>
      <c r="K78">
        <v>0</v>
      </c>
      <c r="L78">
        <v>2</v>
      </c>
      <c r="M78">
        <v>39</v>
      </c>
      <c r="N78">
        <v>0</v>
      </c>
      <c r="O78">
        <f t="shared" si="13"/>
        <v>39</v>
      </c>
      <c r="P78">
        <v>0</v>
      </c>
      <c r="Q78">
        <v>1</v>
      </c>
      <c r="R78">
        <v>0</v>
      </c>
      <c r="T78">
        <v>2</v>
      </c>
      <c r="U78">
        <v>0</v>
      </c>
      <c r="V78">
        <v>2680</v>
      </c>
      <c r="W78">
        <v>9</v>
      </c>
      <c r="X78">
        <v>0</v>
      </c>
      <c r="Y78">
        <v>0</v>
      </c>
      <c r="AA78">
        <f t="shared" si="14"/>
        <v>0</v>
      </c>
      <c r="AB78" t="str">
        <f t="shared" si="15"/>
        <v>0</v>
      </c>
      <c r="AC78">
        <f t="shared" si="16"/>
        <v>0</v>
      </c>
      <c r="AD78">
        <f t="shared" si="17"/>
        <v>0</v>
      </c>
      <c r="AE78">
        <f t="shared" si="18"/>
        <v>0</v>
      </c>
      <c r="AF78">
        <f t="shared" si="19"/>
        <v>0</v>
      </c>
    </row>
    <row r="79" spans="1:32" x14ac:dyDescent="0.3">
      <c r="A79">
        <v>27</v>
      </c>
      <c r="B79">
        <v>51</v>
      </c>
      <c r="C79">
        <v>150</v>
      </c>
      <c r="D79">
        <f t="shared" si="10"/>
        <v>22.666666666666668</v>
      </c>
      <c r="E79">
        <f t="shared" si="11"/>
        <v>1</v>
      </c>
      <c r="F79">
        <v>63</v>
      </c>
      <c r="G79">
        <f t="shared" si="12"/>
        <v>12</v>
      </c>
      <c r="H79">
        <v>0</v>
      </c>
      <c r="J79">
        <v>0</v>
      </c>
      <c r="K79">
        <v>0</v>
      </c>
      <c r="L79">
        <v>0</v>
      </c>
      <c r="M79">
        <v>39</v>
      </c>
      <c r="N79">
        <v>0</v>
      </c>
      <c r="O79">
        <f t="shared" si="13"/>
        <v>39</v>
      </c>
      <c r="P79">
        <v>0</v>
      </c>
      <c r="Q79">
        <v>0</v>
      </c>
      <c r="R79">
        <v>3</v>
      </c>
      <c r="S79" t="s">
        <v>46</v>
      </c>
      <c r="T79">
        <v>0</v>
      </c>
      <c r="U79">
        <v>0</v>
      </c>
      <c r="V79">
        <v>3730</v>
      </c>
      <c r="W79">
        <v>8</v>
      </c>
      <c r="X79">
        <v>1</v>
      </c>
      <c r="Y79">
        <v>0</v>
      </c>
      <c r="AA79">
        <f t="shared" si="14"/>
        <v>0</v>
      </c>
      <c r="AB79" t="str">
        <f t="shared" si="15"/>
        <v>2</v>
      </c>
      <c r="AC79">
        <f t="shared" si="16"/>
        <v>0</v>
      </c>
      <c r="AD79">
        <f t="shared" si="17"/>
        <v>0</v>
      </c>
      <c r="AE79">
        <f t="shared" si="18"/>
        <v>1</v>
      </c>
      <c r="AF79">
        <f t="shared" si="19"/>
        <v>0</v>
      </c>
    </row>
    <row r="80" spans="1:32" x14ac:dyDescent="0.3">
      <c r="A80">
        <v>32</v>
      </c>
      <c r="B80">
        <v>80</v>
      </c>
      <c r="C80">
        <v>152</v>
      </c>
      <c r="D80">
        <f t="shared" si="10"/>
        <v>34.626038781163437</v>
      </c>
      <c r="E80">
        <f t="shared" si="11"/>
        <v>3</v>
      </c>
      <c r="F80">
        <v>98</v>
      </c>
      <c r="G80">
        <f t="shared" si="12"/>
        <v>18</v>
      </c>
      <c r="H80">
        <v>1</v>
      </c>
      <c r="I80" t="s">
        <v>32</v>
      </c>
      <c r="J80">
        <v>0</v>
      </c>
      <c r="K80">
        <v>0</v>
      </c>
      <c r="L80">
        <v>1</v>
      </c>
      <c r="M80">
        <v>41</v>
      </c>
      <c r="N80">
        <v>4</v>
      </c>
      <c r="O80">
        <f t="shared" si="13"/>
        <v>41.571428571428569</v>
      </c>
      <c r="P80">
        <v>0</v>
      </c>
      <c r="Q80">
        <v>0</v>
      </c>
      <c r="R80">
        <v>0</v>
      </c>
      <c r="T80">
        <v>0</v>
      </c>
      <c r="U80">
        <v>0</v>
      </c>
      <c r="V80">
        <v>3480</v>
      </c>
      <c r="W80">
        <v>9</v>
      </c>
      <c r="X80">
        <v>0</v>
      </c>
      <c r="Y80">
        <v>0</v>
      </c>
      <c r="AA80">
        <f t="shared" si="14"/>
        <v>1</v>
      </c>
      <c r="AB80" t="str">
        <f t="shared" si="15"/>
        <v>0</v>
      </c>
      <c r="AC80">
        <f t="shared" si="16"/>
        <v>0</v>
      </c>
      <c r="AD80">
        <f t="shared" si="17"/>
        <v>0</v>
      </c>
      <c r="AE80">
        <f t="shared" si="18"/>
        <v>0</v>
      </c>
      <c r="AF80">
        <f t="shared" si="19"/>
        <v>0</v>
      </c>
    </row>
    <row r="81" spans="1:32" x14ac:dyDescent="0.3">
      <c r="A81">
        <v>26</v>
      </c>
      <c r="B81">
        <v>39</v>
      </c>
      <c r="C81">
        <v>153</v>
      </c>
      <c r="D81">
        <f t="shared" si="10"/>
        <v>16.660258874791747</v>
      </c>
      <c r="E81">
        <f t="shared" si="11"/>
        <v>0</v>
      </c>
      <c r="F81">
        <v>50</v>
      </c>
      <c r="G81">
        <f t="shared" si="12"/>
        <v>11</v>
      </c>
      <c r="H81">
        <v>0</v>
      </c>
      <c r="J81">
        <v>0</v>
      </c>
      <c r="K81">
        <v>0</v>
      </c>
      <c r="L81">
        <v>0</v>
      </c>
      <c r="M81">
        <v>39</v>
      </c>
      <c r="N81">
        <v>1</v>
      </c>
      <c r="O81">
        <f t="shared" si="13"/>
        <v>39.142857142857146</v>
      </c>
      <c r="P81">
        <v>0</v>
      </c>
      <c r="Q81">
        <v>0</v>
      </c>
      <c r="R81">
        <v>0</v>
      </c>
      <c r="T81">
        <v>3</v>
      </c>
      <c r="U81">
        <v>0</v>
      </c>
      <c r="V81">
        <v>3220</v>
      </c>
      <c r="W81">
        <v>9</v>
      </c>
      <c r="X81">
        <v>1</v>
      </c>
      <c r="Y81">
        <v>0</v>
      </c>
      <c r="AA81">
        <f t="shared" si="14"/>
        <v>0</v>
      </c>
      <c r="AB81" t="str">
        <f t="shared" si="15"/>
        <v>0</v>
      </c>
      <c r="AC81">
        <f t="shared" si="16"/>
        <v>0</v>
      </c>
      <c r="AD81">
        <f t="shared" si="17"/>
        <v>0</v>
      </c>
      <c r="AE81">
        <f t="shared" si="18"/>
        <v>0</v>
      </c>
      <c r="AF81">
        <f t="shared" si="19"/>
        <v>0</v>
      </c>
    </row>
    <row r="82" spans="1:32" x14ac:dyDescent="0.3">
      <c r="A82">
        <v>21</v>
      </c>
      <c r="B82">
        <v>50</v>
      </c>
      <c r="C82">
        <v>170</v>
      </c>
      <c r="D82">
        <f t="shared" si="10"/>
        <v>17.301038062283737</v>
      </c>
      <c r="E82">
        <f t="shared" si="11"/>
        <v>0</v>
      </c>
      <c r="F82">
        <v>82</v>
      </c>
      <c r="G82">
        <f t="shared" si="12"/>
        <v>32</v>
      </c>
      <c r="H82">
        <v>0</v>
      </c>
      <c r="J82">
        <v>0</v>
      </c>
      <c r="K82">
        <v>0</v>
      </c>
      <c r="L82">
        <v>0</v>
      </c>
      <c r="M82">
        <v>38</v>
      </c>
      <c r="N82">
        <v>5</v>
      </c>
      <c r="O82">
        <f t="shared" si="13"/>
        <v>38.714285714285715</v>
      </c>
      <c r="P82">
        <v>0</v>
      </c>
      <c r="Q82">
        <v>0</v>
      </c>
      <c r="R82">
        <v>0</v>
      </c>
      <c r="T82">
        <v>0</v>
      </c>
      <c r="U82">
        <v>0</v>
      </c>
      <c r="V82">
        <v>3470</v>
      </c>
      <c r="W82">
        <v>8</v>
      </c>
      <c r="X82">
        <v>1</v>
      </c>
      <c r="Y82">
        <v>0</v>
      </c>
      <c r="AA82">
        <f t="shared" si="14"/>
        <v>1</v>
      </c>
      <c r="AB82" t="str">
        <f t="shared" si="15"/>
        <v>0</v>
      </c>
      <c r="AC82">
        <f t="shared" si="16"/>
        <v>0</v>
      </c>
      <c r="AD82">
        <f t="shared" si="17"/>
        <v>0</v>
      </c>
      <c r="AE82">
        <f t="shared" si="18"/>
        <v>0</v>
      </c>
      <c r="AF82">
        <f t="shared" si="19"/>
        <v>0</v>
      </c>
    </row>
    <row r="83" spans="1:32" x14ac:dyDescent="0.3">
      <c r="A83">
        <v>33</v>
      </c>
      <c r="B83">
        <v>65</v>
      </c>
      <c r="C83">
        <v>165</v>
      </c>
      <c r="D83">
        <f t="shared" si="10"/>
        <v>23.875114784205696</v>
      </c>
      <c r="E83">
        <f t="shared" si="11"/>
        <v>2</v>
      </c>
      <c r="F83">
        <v>81</v>
      </c>
      <c r="G83">
        <f t="shared" si="12"/>
        <v>16</v>
      </c>
      <c r="H83">
        <v>0</v>
      </c>
      <c r="J83">
        <v>0</v>
      </c>
      <c r="K83">
        <v>0</v>
      </c>
      <c r="L83">
        <v>1</v>
      </c>
      <c r="M83">
        <v>40</v>
      </c>
      <c r="N83">
        <v>3</v>
      </c>
      <c r="O83">
        <f t="shared" si="13"/>
        <v>40.428571428571431</v>
      </c>
      <c r="P83">
        <v>0</v>
      </c>
      <c r="Q83">
        <v>0</v>
      </c>
      <c r="R83">
        <v>0</v>
      </c>
      <c r="T83">
        <v>0</v>
      </c>
      <c r="U83">
        <v>0</v>
      </c>
      <c r="V83">
        <v>3760</v>
      </c>
      <c r="W83">
        <v>9</v>
      </c>
      <c r="X83">
        <v>0</v>
      </c>
      <c r="Y83">
        <v>0</v>
      </c>
      <c r="AA83">
        <f t="shared" si="14"/>
        <v>1</v>
      </c>
      <c r="AB83" t="str">
        <f t="shared" si="15"/>
        <v>0</v>
      </c>
      <c r="AC83">
        <f t="shared" si="16"/>
        <v>0</v>
      </c>
      <c r="AD83">
        <f t="shared" si="17"/>
        <v>0</v>
      </c>
      <c r="AE83">
        <f t="shared" si="18"/>
        <v>0</v>
      </c>
      <c r="AF83">
        <f t="shared" si="19"/>
        <v>0</v>
      </c>
    </row>
    <row r="84" spans="1:32" x14ac:dyDescent="0.3">
      <c r="A84">
        <v>27</v>
      </c>
      <c r="B84">
        <v>83</v>
      </c>
      <c r="C84">
        <v>163</v>
      </c>
      <c r="D84">
        <f t="shared" si="10"/>
        <v>31.239414355075468</v>
      </c>
      <c r="E84">
        <f t="shared" si="11"/>
        <v>3</v>
      </c>
      <c r="F84">
        <v>93.5</v>
      </c>
      <c r="G84">
        <f t="shared" si="12"/>
        <v>10.5</v>
      </c>
      <c r="H84">
        <v>1</v>
      </c>
      <c r="I84" t="s">
        <v>32</v>
      </c>
      <c r="J84">
        <v>0</v>
      </c>
      <c r="K84">
        <v>0</v>
      </c>
      <c r="L84">
        <v>1</v>
      </c>
      <c r="M84">
        <v>38</v>
      </c>
      <c r="N84">
        <v>3</v>
      </c>
      <c r="O84">
        <f t="shared" si="13"/>
        <v>38.428571428571431</v>
      </c>
      <c r="P84">
        <v>0</v>
      </c>
      <c r="Q84">
        <v>0</v>
      </c>
      <c r="R84">
        <v>0</v>
      </c>
      <c r="T84">
        <v>0</v>
      </c>
      <c r="U84">
        <v>0</v>
      </c>
      <c r="V84">
        <v>3500</v>
      </c>
      <c r="W84">
        <v>9</v>
      </c>
      <c r="X84">
        <v>0</v>
      </c>
      <c r="Y84">
        <v>0</v>
      </c>
      <c r="AA84">
        <f t="shared" si="14"/>
        <v>1</v>
      </c>
      <c r="AB84" t="str">
        <f t="shared" si="15"/>
        <v>0</v>
      </c>
      <c r="AC84">
        <f t="shared" si="16"/>
        <v>0</v>
      </c>
      <c r="AD84">
        <f t="shared" si="17"/>
        <v>0</v>
      </c>
      <c r="AE84">
        <f t="shared" si="18"/>
        <v>0</v>
      </c>
      <c r="AF84">
        <f t="shared" si="19"/>
        <v>0</v>
      </c>
    </row>
    <row r="85" spans="1:32" x14ac:dyDescent="0.3">
      <c r="A85">
        <v>28</v>
      </c>
      <c r="B85">
        <v>67</v>
      </c>
      <c r="C85">
        <v>170</v>
      </c>
      <c r="D85">
        <f t="shared" si="10"/>
        <v>23.183391003460208</v>
      </c>
      <c r="E85">
        <f t="shared" si="11"/>
        <v>2</v>
      </c>
      <c r="F85">
        <v>86</v>
      </c>
      <c r="G85">
        <f t="shared" si="12"/>
        <v>19</v>
      </c>
      <c r="H85">
        <v>0</v>
      </c>
      <c r="J85">
        <v>0</v>
      </c>
      <c r="K85">
        <v>0</v>
      </c>
      <c r="L85">
        <v>1</v>
      </c>
      <c r="M85">
        <v>39</v>
      </c>
      <c r="N85">
        <v>4</v>
      </c>
      <c r="O85">
        <f t="shared" si="13"/>
        <v>39.571428571428569</v>
      </c>
      <c r="P85">
        <v>1</v>
      </c>
      <c r="Q85">
        <v>0</v>
      </c>
      <c r="R85">
        <v>0</v>
      </c>
      <c r="T85">
        <v>2</v>
      </c>
      <c r="U85">
        <v>0</v>
      </c>
      <c r="V85">
        <v>3520</v>
      </c>
      <c r="W85">
        <v>9</v>
      </c>
      <c r="X85">
        <v>1</v>
      </c>
      <c r="Y85">
        <v>0</v>
      </c>
      <c r="AA85">
        <f t="shared" si="14"/>
        <v>1</v>
      </c>
      <c r="AB85" t="str">
        <f t="shared" si="15"/>
        <v>0</v>
      </c>
      <c r="AC85">
        <f t="shared" si="16"/>
        <v>0</v>
      </c>
      <c r="AD85">
        <f t="shared" si="17"/>
        <v>0</v>
      </c>
      <c r="AE85">
        <f t="shared" si="18"/>
        <v>0</v>
      </c>
      <c r="AF85">
        <f t="shared" si="19"/>
        <v>0</v>
      </c>
    </row>
    <row r="86" spans="1:32" x14ac:dyDescent="0.3">
      <c r="A86">
        <v>29</v>
      </c>
      <c r="B86">
        <v>68</v>
      </c>
      <c r="C86">
        <v>149</v>
      </c>
      <c r="D86">
        <f t="shared" si="10"/>
        <v>30.629250934642585</v>
      </c>
      <c r="E86">
        <f t="shared" si="11"/>
        <v>3</v>
      </c>
      <c r="F86">
        <v>79</v>
      </c>
      <c r="G86">
        <f t="shared" si="12"/>
        <v>11</v>
      </c>
      <c r="H86">
        <v>1</v>
      </c>
      <c r="I86" t="s">
        <v>32</v>
      </c>
      <c r="J86">
        <v>0</v>
      </c>
      <c r="K86">
        <v>0</v>
      </c>
      <c r="L86">
        <v>2</v>
      </c>
      <c r="M86">
        <v>37</v>
      </c>
      <c r="N86">
        <v>1</v>
      </c>
      <c r="O86">
        <f t="shared" si="13"/>
        <v>37.142857142857146</v>
      </c>
      <c r="P86">
        <v>0</v>
      </c>
      <c r="Q86">
        <v>0</v>
      </c>
      <c r="R86">
        <v>0</v>
      </c>
      <c r="T86">
        <v>0</v>
      </c>
      <c r="U86">
        <v>0</v>
      </c>
      <c r="V86">
        <v>3050</v>
      </c>
      <c r="W86">
        <v>9</v>
      </c>
      <c r="X86">
        <v>1</v>
      </c>
      <c r="Y86">
        <v>1</v>
      </c>
      <c r="Z86" t="s">
        <v>38</v>
      </c>
      <c r="AA86">
        <f t="shared" si="14"/>
        <v>1</v>
      </c>
      <c r="AB86" t="str">
        <f t="shared" si="15"/>
        <v>0</v>
      </c>
      <c r="AC86">
        <f t="shared" si="16"/>
        <v>0</v>
      </c>
      <c r="AD86">
        <f t="shared" si="17"/>
        <v>0</v>
      </c>
      <c r="AE86">
        <f t="shared" si="18"/>
        <v>0</v>
      </c>
      <c r="AF86">
        <f t="shared" si="19"/>
        <v>0</v>
      </c>
    </row>
    <row r="87" spans="1:32" x14ac:dyDescent="0.3">
      <c r="A87">
        <v>31</v>
      </c>
      <c r="B87">
        <v>80</v>
      </c>
      <c r="C87">
        <v>152</v>
      </c>
      <c r="D87">
        <f t="shared" si="10"/>
        <v>34.626038781163437</v>
      </c>
      <c r="E87">
        <f t="shared" si="11"/>
        <v>3</v>
      </c>
      <c r="F87">
        <v>91</v>
      </c>
      <c r="G87">
        <f t="shared" si="12"/>
        <v>11</v>
      </c>
      <c r="H87">
        <v>1</v>
      </c>
      <c r="I87" t="s">
        <v>47</v>
      </c>
      <c r="J87">
        <v>0</v>
      </c>
      <c r="K87">
        <v>0</v>
      </c>
      <c r="L87">
        <v>0</v>
      </c>
      <c r="M87">
        <v>38</v>
      </c>
      <c r="N87">
        <v>2</v>
      </c>
      <c r="O87">
        <f t="shared" si="13"/>
        <v>38.285714285714285</v>
      </c>
      <c r="P87">
        <v>0</v>
      </c>
      <c r="Q87">
        <v>1</v>
      </c>
      <c r="R87">
        <v>3</v>
      </c>
      <c r="S87" t="s">
        <v>35</v>
      </c>
      <c r="T87">
        <v>0</v>
      </c>
      <c r="U87">
        <v>0</v>
      </c>
      <c r="V87">
        <v>2380</v>
      </c>
      <c r="W87">
        <v>8</v>
      </c>
      <c r="X87">
        <v>1</v>
      </c>
      <c r="Y87">
        <v>0</v>
      </c>
      <c r="AA87">
        <f t="shared" si="14"/>
        <v>1</v>
      </c>
      <c r="AB87" t="str">
        <f t="shared" si="15"/>
        <v>1</v>
      </c>
      <c r="AC87">
        <f t="shared" si="16"/>
        <v>0</v>
      </c>
      <c r="AD87">
        <f t="shared" si="17"/>
        <v>0</v>
      </c>
      <c r="AE87">
        <f t="shared" si="18"/>
        <v>1</v>
      </c>
      <c r="AF87">
        <f t="shared" si="19"/>
        <v>0</v>
      </c>
    </row>
    <row r="88" spans="1:32" x14ac:dyDescent="0.3">
      <c r="A88">
        <v>24</v>
      </c>
      <c r="B88">
        <v>54</v>
      </c>
      <c r="C88">
        <v>166</v>
      </c>
      <c r="D88">
        <f t="shared" si="10"/>
        <v>19.596458121643199</v>
      </c>
      <c r="E88">
        <f t="shared" si="11"/>
        <v>1</v>
      </c>
      <c r="F88">
        <v>77.7</v>
      </c>
      <c r="G88">
        <f t="shared" si="12"/>
        <v>23.700000000000003</v>
      </c>
      <c r="H88">
        <v>0</v>
      </c>
      <c r="J88">
        <v>0</v>
      </c>
      <c r="K88">
        <v>0</v>
      </c>
      <c r="L88">
        <v>0</v>
      </c>
      <c r="M88">
        <v>38</v>
      </c>
      <c r="N88">
        <v>5</v>
      </c>
      <c r="O88">
        <f t="shared" si="13"/>
        <v>38.714285714285715</v>
      </c>
      <c r="P88">
        <v>0</v>
      </c>
      <c r="Q88">
        <v>1</v>
      </c>
      <c r="R88">
        <v>0</v>
      </c>
      <c r="T88">
        <v>0</v>
      </c>
      <c r="U88">
        <v>0</v>
      </c>
      <c r="V88">
        <v>4070</v>
      </c>
      <c r="W88">
        <v>8</v>
      </c>
      <c r="X88">
        <v>1</v>
      </c>
      <c r="Y88">
        <v>0</v>
      </c>
      <c r="AA88">
        <f t="shared" si="14"/>
        <v>1</v>
      </c>
      <c r="AB88" t="str">
        <f t="shared" si="15"/>
        <v>2</v>
      </c>
      <c r="AC88">
        <f t="shared" si="16"/>
        <v>1</v>
      </c>
      <c r="AD88">
        <f t="shared" si="17"/>
        <v>0</v>
      </c>
      <c r="AE88">
        <f t="shared" si="18"/>
        <v>0</v>
      </c>
      <c r="AF88">
        <f t="shared" si="19"/>
        <v>0</v>
      </c>
    </row>
    <row r="89" spans="1:32" x14ac:dyDescent="0.3">
      <c r="A89">
        <v>22</v>
      </c>
      <c r="B89">
        <v>48</v>
      </c>
      <c r="C89">
        <v>173</v>
      </c>
      <c r="D89">
        <f t="shared" si="10"/>
        <v>16.037956497043002</v>
      </c>
      <c r="E89">
        <f t="shared" si="11"/>
        <v>0</v>
      </c>
      <c r="F89">
        <v>69</v>
      </c>
      <c r="G89">
        <f t="shared" si="12"/>
        <v>21</v>
      </c>
      <c r="H89">
        <v>0</v>
      </c>
      <c r="J89">
        <v>0</v>
      </c>
      <c r="K89">
        <v>0</v>
      </c>
      <c r="L89">
        <v>0</v>
      </c>
      <c r="M89">
        <v>40</v>
      </c>
      <c r="N89">
        <v>4</v>
      </c>
      <c r="O89">
        <f t="shared" si="13"/>
        <v>40.571428571428569</v>
      </c>
      <c r="P89">
        <v>0</v>
      </c>
      <c r="Q89">
        <v>1</v>
      </c>
      <c r="R89">
        <v>0</v>
      </c>
      <c r="T89">
        <v>0</v>
      </c>
      <c r="U89">
        <v>0</v>
      </c>
      <c r="V89">
        <v>3820</v>
      </c>
      <c r="W89">
        <v>9</v>
      </c>
      <c r="X89">
        <v>0</v>
      </c>
      <c r="Y89">
        <v>0</v>
      </c>
      <c r="AA89">
        <f t="shared" si="14"/>
        <v>1</v>
      </c>
      <c r="AB89" t="str">
        <f t="shared" si="15"/>
        <v>0</v>
      </c>
      <c r="AC89">
        <f t="shared" si="16"/>
        <v>0</v>
      </c>
      <c r="AD89">
        <f t="shared" si="17"/>
        <v>0</v>
      </c>
      <c r="AE89">
        <f t="shared" si="18"/>
        <v>0</v>
      </c>
      <c r="AF89">
        <f t="shared" si="19"/>
        <v>0</v>
      </c>
    </row>
    <row r="90" spans="1:32" x14ac:dyDescent="0.3">
      <c r="A90">
        <v>26</v>
      </c>
      <c r="B90">
        <v>52</v>
      </c>
      <c r="C90">
        <v>159</v>
      </c>
      <c r="D90">
        <f t="shared" si="10"/>
        <v>20.568806613662431</v>
      </c>
      <c r="E90">
        <f t="shared" si="11"/>
        <v>1</v>
      </c>
      <c r="F90">
        <v>69</v>
      </c>
      <c r="G90">
        <f t="shared" si="12"/>
        <v>17</v>
      </c>
      <c r="H90">
        <v>0</v>
      </c>
      <c r="J90">
        <v>0</v>
      </c>
      <c r="K90">
        <v>0</v>
      </c>
      <c r="L90">
        <v>0</v>
      </c>
      <c r="M90">
        <v>40</v>
      </c>
      <c r="N90">
        <v>6</v>
      </c>
      <c r="O90">
        <f t="shared" si="13"/>
        <v>40.857142857142854</v>
      </c>
      <c r="P90">
        <v>0</v>
      </c>
      <c r="Q90">
        <v>1</v>
      </c>
      <c r="R90">
        <v>0</v>
      </c>
      <c r="T90">
        <v>3</v>
      </c>
      <c r="U90">
        <v>0</v>
      </c>
      <c r="V90">
        <v>3200</v>
      </c>
      <c r="W90">
        <v>9</v>
      </c>
      <c r="X90">
        <v>1</v>
      </c>
      <c r="Y90">
        <v>0</v>
      </c>
      <c r="AA90">
        <f t="shared" si="14"/>
        <v>1</v>
      </c>
      <c r="AB90" t="str">
        <f t="shared" si="15"/>
        <v>0</v>
      </c>
      <c r="AC90">
        <f t="shared" si="16"/>
        <v>0</v>
      </c>
      <c r="AD90">
        <f t="shared" si="17"/>
        <v>0</v>
      </c>
      <c r="AE90">
        <f t="shared" si="18"/>
        <v>0</v>
      </c>
      <c r="AF90">
        <f t="shared" si="19"/>
        <v>0</v>
      </c>
    </row>
    <row r="91" spans="1:32" x14ac:dyDescent="0.3">
      <c r="A91">
        <v>28</v>
      </c>
      <c r="B91">
        <v>51</v>
      </c>
      <c r="C91">
        <v>157</v>
      </c>
      <c r="D91">
        <f t="shared" si="10"/>
        <v>20.690494543389182</v>
      </c>
      <c r="E91">
        <f t="shared" si="11"/>
        <v>1</v>
      </c>
      <c r="F91">
        <v>65</v>
      </c>
      <c r="G91">
        <f t="shared" si="12"/>
        <v>14</v>
      </c>
      <c r="H91">
        <v>0</v>
      </c>
      <c r="J91">
        <v>0</v>
      </c>
      <c r="K91">
        <v>0</v>
      </c>
      <c r="L91">
        <v>0</v>
      </c>
      <c r="M91">
        <v>41</v>
      </c>
      <c r="N91">
        <v>0</v>
      </c>
      <c r="O91">
        <f t="shared" si="13"/>
        <v>41</v>
      </c>
      <c r="P91">
        <v>0</v>
      </c>
      <c r="Q91">
        <v>0</v>
      </c>
      <c r="R91">
        <v>0</v>
      </c>
      <c r="T91">
        <v>0</v>
      </c>
      <c r="U91">
        <v>0</v>
      </c>
      <c r="V91">
        <v>3290</v>
      </c>
      <c r="W91">
        <v>9</v>
      </c>
      <c r="X91">
        <v>0</v>
      </c>
      <c r="Y91">
        <v>0</v>
      </c>
      <c r="AA91">
        <f t="shared" si="14"/>
        <v>0</v>
      </c>
      <c r="AB91" t="str">
        <f t="shared" si="15"/>
        <v>0</v>
      </c>
      <c r="AC91">
        <f t="shared" si="16"/>
        <v>0</v>
      </c>
      <c r="AD91">
        <f t="shared" si="17"/>
        <v>0</v>
      </c>
      <c r="AE91">
        <f t="shared" si="18"/>
        <v>0</v>
      </c>
      <c r="AF91">
        <f t="shared" si="19"/>
        <v>0</v>
      </c>
    </row>
    <row r="92" spans="1:32" x14ac:dyDescent="0.3">
      <c r="A92">
        <v>38</v>
      </c>
      <c r="B92">
        <v>46</v>
      </c>
      <c r="C92">
        <v>155</v>
      </c>
      <c r="D92">
        <f t="shared" si="10"/>
        <v>19.146722164412068</v>
      </c>
      <c r="E92">
        <f t="shared" si="11"/>
        <v>1</v>
      </c>
      <c r="F92">
        <v>71</v>
      </c>
      <c r="G92">
        <f t="shared" si="12"/>
        <v>25</v>
      </c>
      <c r="H92">
        <v>1</v>
      </c>
      <c r="I92" t="s">
        <v>48</v>
      </c>
      <c r="J92">
        <v>0</v>
      </c>
      <c r="K92">
        <v>0</v>
      </c>
      <c r="L92">
        <v>0</v>
      </c>
      <c r="M92">
        <v>38</v>
      </c>
      <c r="N92">
        <v>6</v>
      </c>
      <c r="O92">
        <f t="shared" si="13"/>
        <v>38.857142857142854</v>
      </c>
      <c r="P92">
        <v>0</v>
      </c>
      <c r="Q92">
        <v>0</v>
      </c>
      <c r="R92">
        <v>3</v>
      </c>
      <c r="S92" t="s">
        <v>36</v>
      </c>
      <c r="T92">
        <v>0</v>
      </c>
      <c r="U92">
        <v>0</v>
      </c>
      <c r="V92">
        <v>3360</v>
      </c>
      <c r="W92">
        <v>9</v>
      </c>
      <c r="X92">
        <v>1</v>
      </c>
      <c r="Y92">
        <v>0</v>
      </c>
      <c r="AA92">
        <f t="shared" si="14"/>
        <v>1</v>
      </c>
      <c r="AB92" t="str">
        <f t="shared" si="15"/>
        <v>0</v>
      </c>
      <c r="AC92">
        <f t="shared" si="16"/>
        <v>0</v>
      </c>
      <c r="AD92">
        <f t="shared" si="17"/>
        <v>0</v>
      </c>
      <c r="AE92">
        <f t="shared" si="18"/>
        <v>1</v>
      </c>
      <c r="AF92">
        <f t="shared" si="19"/>
        <v>0</v>
      </c>
    </row>
    <row r="93" spans="1:32" x14ac:dyDescent="0.3">
      <c r="A93">
        <v>31</v>
      </c>
      <c r="B93">
        <v>52</v>
      </c>
      <c r="C93">
        <v>158</v>
      </c>
      <c r="D93">
        <f t="shared" si="10"/>
        <v>20.82999519307803</v>
      </c>
      <c r="E93">
        <f t="shared" si="11"/>
        <v>1</v>
      </c>
      <c r="F93">
        <v>66</v>
      </c>
      <c r="G93">
        <f t="shared" si="12"/>
        <v>14</v>
      </c>
      <c r="H93">
        <v>0</v>
      </c>
      <c r="J93">
        <v>0</v>
      </c>
      <c r="K93">
        <v>0</v>
      </c>
      <c r="L93">
        <v>0</v>
      </c>
      <c r="M93">
        <v>39</v>
      </c>
      <c r="N93">
        <v>4</v>
      </c>
      <c r="O93">
        <f t="shared" si="13"/>
        <v>39.571428571428569</v>
      </c>
      <c r="P93">
        <v>0</v>
      </c>
      <c r="Q93">
        <v>0</v>
      </c>
      <c r="R93">
        <v>0</v>
      </c>
      <c r="T93">
        <v>0</v>
      </c>
      <c r="U93">
        <v>0</v>
      </c>
      <c r="V93">
        <v>3030</v>
      </c>
      <c r="W93">
        <v>8</v>
      </c>
      <c r="X93">
        <v>1</v>
      </c>
      <c r="Y93">
        <v>0</v>
      </c>
      <c r="AA93">
        <f t="shared" si="14"/>
        <v>0</v>
      </c>
      <c r="AB93" t="str">
        <f t="shared" si="15"/>
        <v>0</v>
      </c>
      <c r="AC93">
        <f t="shared" si="16"/>
        <v>0</v>
      </c>
      <c r="AD93">
        <f t="shared" si="17"/>
        <v>0</v>
      </c>
      <c r="AE93">
        <f t="shared" si="18"/>
        <v>0</v>
      </c>
      <c r="AF93">
        <f t="shared" si="19"/>
        <v>0</v>
      </c>
    </row>
    <row r="94" spans="1:32" x14ac:dyDescent="0.3">
      <c r="A94">
        <v>31</v>
      </c>
      <c r="B94">
        <v>57</v>
      </c>
      <c r="C94">
        <v>156</v>
      </c>
      <c r="D94">
        <f t="shared" si="10"/>
        <v>23.422090729783037</v>
      </c>
      <c r="E94">
        <f t="shared" si="11"/>
        <v>2</v>
      </c>
      <c r="F94">
        <v>69</v>
      </c>
      <c r="G94">
        <f t="shared" si="12"/>
        <v>12</v>
      </c>
      <c r="H94">
        <v>0</v>
      </c>
      <c r="J94">
        <v>0</v>
      </c>
      <c r="K94">
        <v>0</v>
      </c>
      <c r="L94">
        <v>1</v>
      </c>
      <c r="M94">
        <v>38</v>
      </c>
      <c r="N94">
        <v>5</v>
      </c>
      <c r="O94">
        <f t="shared" si="13"/>
        <v>38.714285714285715</v>
      </c>
      <c r="P94">
        <v>0</v>
      </c>
      <c r="Q94">
        <v>0</v>
      </c>
      <c r="R94">
        <v>0</v>
      </c>
      <c r="T94">
        <v>0</v>
      </c>
      <c r="U94">
        <v>0</v>
      </c>
      <c r="V94">
        <v>3320</v>
      </c>
      <c r="W94">
        <v>8</v>
      </c>
      <c r="X94">
        <v>0</v>
      </c>
      <c r="Y94">
        <v>0</v>
      </c>
      <c r="AA94">
        <f t="shared" si="14"/>
        <v>1</v>
      </c>
      <c r="AB94" t="str">
        <f t="shared" si="15"/>
        <v>0</v>
      </c>
      <c r="AC94">
        <f t="shared" si="16"/>
        <v>0</v>
      </c>
      <c r="AD94">
        <f t="shared" si="17"/>
        <v>0</v>
      </c>
      <c r="AE94">
        <f t="shared" si="18"/>
        <v>0</v>
      </c>
      <c r="AF94">
        <f t="shared" si="19"/>
        <v>0</v>
      </c>
    </row>
    <row r="95" spans="1:32" x14ac:dyDescent="0.3">
      <c r="A95">
        <v>22</v>
      </c>
      <c r="B95">
        <v>48</v>
      </c>
      <c r="C95">
        <v>150</v>
      </c>
      <c r="D95">
        <f t="shared" si="10"/>
        <v>21.333333333333332</v>
      </c>
      <c r="E95">
        <f t="shared" si="11"/>
        <v>1</v>
      </c>
      <c r="F95">
        <v>80</v>
      </c>
      <c r="G95">
        <f t="shared" si="12"/>
        <v>32</v>
      </c>
      <c r="H95">
        <v>0</v>
      </c>
      <c r="J95">
        <v>0</v>
      </c>
      <c r="K95">
        <v>0</v>
      </c>
      <c r="L95">
        <v>0</v>
      </c>
      <c r="M95">
        <v>39</v>
      </c>
      <c r="N95">
        <v>2</v>
      </c>
      <c r="O95">
        <f t="shared" si="13"/>
        <v>39.285714285714285</v>
      </c>
      <c r="P95">
        <v>0</v>
      </c>
      <c r="Q95">
        <v>0</v>
      </c>
      <c r="R95">
        <v>3</v>
      </c>
      <c r="S95" t="s">
        <v>49</v>
      </c>
      <c r="T95">
        <v>0</v>
      </c>
      <c r="U95">
        <v>0</v>
      </c>
      <c r="V95">
        <v>2280</v>
      </c>
      <c r="W95">
        <v>4</v>
      </c>
      <c r="X95">
        <v>2</v>
      </c>
      <c r="Y95">
        <v>0</v>
      </c>
      <c r="AA95">
        <f t="shared" si="14"/>
        <v>1</v>
      </c>
      <c r="AB95" t="str">
        <f t="shared" si="15"/>
        <v>1</v>
      </c>
      <c r="AC95">
        <f t="shared" si="16"/>
        <v>0</v>
      </c>
      <c r="AD95">
        <f t="shared" si="17"/>
        <v>1</v>
      </c>
      <c r="AE95">
        <f t="shared" si="18"/>
        <v>1</v>
      </c>
      <c r="AF95">
        <f t="shared" si="19"/>
        <v>1</v>
      </c>
    </row>
    <row r="96" spans="1:32" x14ac:dyDescent="0.3">
      <c r="A96">
        <v>24</v>
      </c>
      <c r="B96">
        <v>44</v>
      </c>
      <c r="C96">
        <v>155</v>
      </c>
      <c r="D96">
        <f t="shared" si="10"/>
        <v>18.314255983350673</v>
      </c>
      <c r="E96">
        <f t="shared" si="11"/>
        <v>0</v>
      </c>
      <c r="F96">
        <v>55</v>
      </c>
      <c r="G96">
        <f t="shared" si="12"/>
        <v>11</v>
      </c>
      <c r="H96">
        <v>0</v>
      </c>
      <c r="J96">
        <v>0</v>
      </c>
      <c r="K96">
        <v>0</v>
      </c>
      <c r="L96">
        <v>1</v>
      </c>
      <c r="M96">
        <v>38</v>
      </c>
      <c r="N96">
        <v>1</v>
      </c>
      <c r="O96">
        <f t="shared" si="13"/>
        <v>38.142857142857146</v>
      </c>
      <c r="P96">
        <v>0</v>
      </c>
      <c r="Q96">
        <v>0</v>
      </c>
      <c r="R96">
        <v>0</v>
      </c>
      <c r="T96">
        <v>0</v>
      </c>
      <c r="U96">
        <v>0</v>
      </c>
      <c r="V96">
        <v>3010</v>
      </c>
      <c r="W96">
        <v>9</v>
      </c>
      <c r="X96">
        <v>1</v>
      </c>
      <c r="Y96">
        <v>0</v>
      </c>
      <c r="AA96">
        <f t="shared" si="14"/>
        <v>0</v>
      </c>
      <c r="AB96" t="str">
        <f t="shared" si="15"/>
        <v>0</v>
      </c>
      <c r="AC96">
        <f t="shared" si="16"/>
        <v>0</v>
      </c>
      <c r="AD96">
        <f t="shared" si="17"/>
        <v>0</v>
      </c>
      <c r="AE96">
        <f t="shared" si="18"/>
        <v>0</v>
      </c>
      <c r="AF96">
        <f t="shared" si="19"/>
        <v>0</v>
      </c>
    </row>
    <row r="97" spans="1:32" x14ac:dyDescent="0.3">
      <c r="A97">
        <v>25</v>
      </c>
      <c r="B97">
        <v>60</v>
      </c>
      <c r="C97">
        <v>152</v>
      </c>
      <c r="D97">
        <f t="shared" si="10"/>
        <v>25.969529085872576</v>
      </c>
      <c r="E97">
        <f t="shared" si="11"/>
        <v>3</v>
      </c>
      <c r="F97">
        <v>76</v>
      </c>
      <c r="G97">
        <f t="shared" si="12"/>
        <v>16</v>
      </c>
      <c r="H97">
        <v>1</v>
      </c>
      <c r="I97" t="s">
        <v>32</v>
      </c>
      <c r="J97">
        <v>0</v>
      </c>
      <c r="K97">
        <v>0</v>
      </c>
      <c r="L97">
        <v>1</v>
      </c>
      <c r="M97">
        <v>38</v>
      </c>
      <c r="N97">
        <v>6</v>
      </c>
      <c r="O97">
        <f t="shared" si="13"/>
        <v>38.857142857142854</v>
      </c>
      <c r="P97">
        <v>0</v>
      </c>
      <c r="Q97">
        <v>0</v>
      </c>
      <c r="R97">
        <v>0</v>
      </c>
      <c r="T97">
        <v>0</v>
      </c>
      <c r="U97">
        <v>0</v>
      </c>
      <c r="V97">
        <v>3190</v>
      </c>
      <c r="W97">
        <v>8</v>
      </c>
      <c r="X97">
        <v>0</v>
      </c>
      <c r="Y97">
        <v>0</v>
      </c>
      <c r="AA97">
        <f t="shared" si="14"/>
        <v>1</v>
      </c>
      <c r="AB97" t="str">
        <f t="shared" si="15"/>
        <v>0</v>
      </c>
      <c r="AC97">
        <f t="shared" si="16"/>
        <v>0</v>
      </c>
      <c r="AD97">
        <f t="shared" si="17"/>
        <v>0</v>
      </c>
      <c r="AE97">
        <f t="shared" si="18"/>
        <v>0</v>
      </c>
      <c r="AF97">
        <f t="shared" si="19"/>
        <v>0</v>
      </c>
    </row>
    <row r="98" spans="1:32" x14ac:dyDescent="0.3">
      <c r="A98">
        <v>29</v>
      </c>
      <c r="B98">
        <v>39</v>
      </c>
      <c r="C98">
        <v>153</v>
      </c>
      <c r="D98">
        <f t="shared" si="10"/>
        <v>16.660258874791747</v>
      </c>
      <c r="E98">
        <f t="shared" si="11"/>
        <v>0</v>
      </c>
      <c r="F98">
        <v>45</v>
      </c>
      <c r="G98">
        <f t="shared" si="12"/>
        <v>6</v>
      </c>
      <c r="H98">
        <v>0</v>
      </c>
      <c r="J98">
        <v>0</v>
      </c>
      <c r="K98">
        <v>0</v>
      </c>
      <c r="L98">
        <v>1</v>
      </c>
      <c r="M98">
        <v>38</v>
      </c>
      <c r="N98">
        <v>0</v>
      </c>
      <c r="O98">
        <f t="shared" si="13"/>
        <v>38</v>
      </c>
      <c r="P98">
        <v>0</v>
      </c>
      <c r="Q98">
        <v>0</v>
      </c>
      <c r="R98">
        <v>0</v>
      </c>
      <c r="T98">
        <v>0</v>
      </c>
      <c r="U98">
        <v>0</v>
      </c>
      <c r="V98">
        <v>2410</v>
      </c>
      <c r="W98">
        <v>9</v>
      </c>
      <c r="X98">
        <v>1</v>
      </c>
      <c r="Y98">
        <v>0</v>
      </c>
      <c r="AA98">
        <f t="shared" si="14"/>
        <v>0</v>
      </c>
      <c r="AB98" t="str">
        <f t="shared" si="15"/>
        <v>1</v>
      </c>
      <c r="AC98">
        <f t="shared" si="16"/>
        <v>0</v>
      </c>
      <c r="AD98">
        <f t="shared" si="17"/>
        <v>0</v>
      </c>
      <c r="AE98">
        <f t="shared" si="18"/>
        <v>0</v>
      </c>
      <c r="AF98">
        <f t="shared" si="19"/>
        <v>0</v>
      </c>
    </row>
    <row r="99" spans="1:32" x14ac:dyDescent="0.3">
      <c r="A99">
        <v>36</v>
      </c>
      <c r="B99">
        <v>65</v>
      </c>
      <c r="C99">
        <v>150</v>
      </c>
      <c r="D99">
        <f t="shared" si="10"/>
        <v>28.888888888888889</v>
      </c>
      <c r="E99">
        <f t="shared" si="11"/>
        <v>3</v>
      </c>
      <c r="F99">
        <v>76</v>
      </c>
      <c r="G99">
        <f t="shared" si="12"/>
        <v>11</v>
      </c>
      <c r="H99">
        <v>1</v>
      </c>
      <c r="I99" t="s">
        <v>32</v>
      </c>
      <c r="J99">
        <v>0</v>
      </c>
      <c r="K99">
        <v>0</v>
      </c>
      <c r="L99">
        <v>0</v>
      </c>
      <c r="M99">
        <v>38</v>
      </c>
      <c r="N99">
        <v>6</v>
      </c>
      <c r="O99">
        <f t="shared" si="13"/>
        <v>38.857142857142854</v>
      </c>
      <c r="P99">
        <v>0</v>
      </c>
      <c r="Q99">
        <v>0</v>
      </c>
      <c r="R99">
        <v>0</v>
      </c>
      <c r="T99">
        <v>0</v>
      </c>
      <c r="U99">
        <v>0</v>
      </c>
      <c r="V99">
        <v>3270</v>
      </c>
      <c r="W99">
        <v>9</v>
      </c>
      <c r="X99">
        <v>0</v>
      </c>
      <c r="Y99">
        <v>0</v>
      </c>
      <c r="AA99">
        <f t="shared" si="14"/>
        <v>1</v>
      </c>
      <c r="AB99" t="str">
        <f t="shared" si="15"/>
        <v>0</v>
      </c>
      <c r="AC99">
        <f t="shared" si="16"/>
        <v>0</v>
      </c>
      <c r="AD99">
        <f t="shared" si="17"/>
        <v>0</v>
      </c>
      <c r="AE99">
        <f t="shared" si="18"/>
        <v>0</v>
      </c>
      <c r="AF99">
        <f t="shared" si="19"/>
        <v>0</v>
      </c>
    </row>
    <row r="100" spans="1:32" x14ac:dyDescent="0.3">
      <c r="A100">
        <v>34</v>
      </c>
      <c r="B100">
        <v>53</v>
      </c>
      <c r="C100">
        <v>150</v>
      </c>
      <c r="D100">
        <f t="shared" si="10"/>
        <v>23.555555555555557</v>
      </c>
      <c r="E100">
        <f t="shared" si="11"/>
        <v>2</v>
      </c>
      <c r="F100">
        <v>67</v>
      </c>
      <c r="G100">
        <f t="shared" si="12"/>
        <v>14</v>
      </c>
      <c r="H100">
        <v>0</v>
      </c>
      <c r="J100">
        <v>0</v>
      </c>
      <c r="K100">
        <v>0</v>
      </c>
      <c r="L100">
        <v>2</v>
      </c>
      <c r="M100">
        <v>39</v>
      </c>
      <c r="N100">
        <v>3</v>
      </c>
      <c r="O100">
        <f t="shared" si="13"/>
        <v>39.428571428571431</v>
      </c>
      <c r="P100">
        <v>0</v>
      </c>
      <c r="Q100">
        <v>0</v>
      </c>
      <c r="R100">
        <v>0</v>
      </c>
      <c r="T100">
        <v>0</v>
      </c>
      <c r="U100">
        <v>0</v>
      </c>
      <c r="V100">
        <v>3430</v>
      </c>
      <c r="W100">
        <v>8</v>
      </c>
      <c r="X100">
        <v>0</v>
      </c>
      <c r="Y100">
        <v>0</v>
      </c>
      <c r="AA100">
        <f t="shared" si="14"/>
        <v>1</v>
      </c>
      <c r="AB100" t="str">
        <f t="shared" si="15"/>
        <v>0</v>
      </c>
      <c r="AC100">
        <f t="shared" si="16"/>
        <v>0</v>
      </c>
      <c r="AD100">
        <f t="shared" si="17"/>
        <v>0</v>
      </c>
      <c r="AE100">
        <f t="shared" si="18"/>
        <v>0</v>
      </c>
      <c r="AF100">
        <f t="shared" si="19"/>
        <v>0</v>
      </c>
    </row>
    <row r="101" spans="1:32" x14ac:dyDescent="0.3">
      <c r="A101">
        <v>34</v>
      </c>
      <c r="B101">
        <v>66</v>
      </c>
      <c r="C101">
        <v>154</v>
      </c>
      <c r="D101">
        <f t="shared" si="10"/>
        <v>27.829313543599259</v>
      </c>
      <c r="E101">
        <f t="shared" si="11"/>
        <v>3</v>
      </c>
      <c r="F101">
        <v>95</v>
      </c>
      <c r="G101">
        <f t="shared" si="12"/>
        <v>29</v>
      </c>
      <c r="H101">
        <v>1</v>
      </c>
      <c r="I101" t="s">
        <v>32</v>
      </c>
      <c r="J101">
        <v>0</v>
      </c>
      <c r="K101">
        <v>1</v>
      </c>
      <c r="L101">
        <v>1</v>
      </c>
      <c r="M101">
        <v>37</v>
      </c>
      <c r="N101">
        <v>6</v>
      </c>
      <c r="O101">
        <f t="shared" si="13"/>
        <v>37.857142857142854</v>
      </c>
      <c r="P101">
        <v>0</v>
      </c>
      <c r="Q101">
        <v>1</v>
      </c>
      <c r="R101">
        <v>3</v>
      </c>
      <c r="S101" t="s">
        <v>34</v>
      </c>
      <c r="T101">
        <v>0</v>
      </c>
      <c r="U101">
        <v>0</v>
      </c>
      <c r="V101">
        <v>3410</v>
      </c>
      <c r="W101">
        <v>9</v>
      </c>
      <c r="X101">
        <v>1</v>
      </c>
      <c r="Y101">
        <v>0</v>
      </c>
      <c r="AA101">
        <f t="shared" si="14"/>
        <v>1</v>
      </c>
      <c r="AB101" t="str">
        <f t="shared" si="15"/>
        <v>2</v>
      </c>
      <c r="AC101">
        <f t="shared" si="16"/>
        <v>0</v>
      </c>
      <c r="AD101">
        <f t="shared" si="17"/>
        <v>0</v>
      </c>
      <c r="AE101">
        <f t="shared" si="18"/>
        <v>1</v>
      </c>
      <c r="AF101">
        <f t="shared" si="19"/>
        <v>0</v>
      </c>
    </row>
    <row r="102" spans="1:32" x14ac:dyDescent="0.3">
      <c r="A102">
        <v>32</v>
      </c>
      <c r="B102">
        <v>50</v>
      </c>
      <c r="C102">
        <v>160</v>
      </c>
      <c r="D102">
        <f t="shared" si="10"/>
        <v>19.531249999999996</v>
      </c>
      <c r="E102">
        <f t="shared" si="11"/>
        <v>1</v>
      </c>
      <c r="F102">
        <v>61</v>
      </c>
      <c r="G102">
        <f t="shared" si="12"/>
        <v>11</v>
      </c>
      <c r="H102">
        <v>0</v>
      </c>
      <c r="J102">
        <v>0</v>
      </c>
      <c r="K102">
        <v>0</v>
      </c>
      <c r="L102">
        <v>1</v>
      </c>
      <c r="M102">
        <v>39</v>
      </c>
      <c r="N102">
        <v>2</v>
      </c>
      <c r="O102">
        <f t="shared" si="13"/>
        <v>39.285714285714285</v>
      </c>
      <c r="P102">
        <v>0</v>
      </c>
      <c r="Q102">
        <v>0</v>
      </c>
      <c r="R102">
        <v>0</v>
      </c>
      <c r="T102">
        <v>0</v>
      </c>
      <c r="U102">
        <v>0</v>
      </c>
      <c r="V102">
        <v>2870</v>
      </c>
      <c r="W102">
        <v>6</v>
      </c>
      <c r="X102">
        <v>1</v>
      </c>
      <c r="Y102">
        <v>0</v>
      </c>
      <c r="AA102">
        <f t="shared" si="14"/>
        <v>0</v>
      </c>
      <c r="AB102" t="str">
        <f t="shared" si="15"/>
        <v>0</v>
      </c>
      <c r="AC102">
        <f t="shared" si="16"/>
        <v>0</v>
      </c>
      <c r="AD102">
        <f t="shared" si="17"/>
        <v>1</v>
      </c>
      <c r="AE102">
        <f t="shared" si="18"/>
        <v>0</v>
      </c>
      <c r="AF102">
        <f t="shared" si="19"/>
        <v>0</v>
      </c>
    </row>
    <row r="103" spans="1:32" x14ac:dyDescent="0.3">
      <c r="A103">
        <v>36</v>
      </c>
      <c r="B103">
        <v>50</v>
      </c>
      <c r="C103">
        <v>162</v>
      </c>
      <c r="D103">
        <f t="shared" si="10"/>
        <v>19.051973784484069</v>
      </c>
      <c r="E103">
        <f t="shared" si="11"/>
        <v>1</v>
      </c>
      <c r="F103">
        <v>67</v>
      </c>
      <c r="G103">
        <f t="shared" si="12"/>
        <v>17</v>
      </c>
      <c r="H103">
        <v>0</v>
      </c>
      <c r="J103">
        <v>0</v>
      </c>
      <c r="K103">
        <v>0</v>
      </c>
      <c r="L103">
        <v>1</v>
      </c>
      <c r="M103">
        <v>40</v>
      </c>
      <c r="N103">
        <v>1</v>
      </c>
      <c r="O103">
        <f t="shared" si="13"/>
        <v>40.142857142857146</v>
      </c>
      <c r="P103">
        <v>0</v>
      </c>
      <c r="Q103">
        <v>0</v>
      </c>
      <c r="R103">
        <v>2</v>
      </c>
      <c r="S103" t="s">
        <v>49</v>
      </c>
      <c r="T103">
        <v>0</v>
      </c>
      <c r="U103">
        <v>0</v>
      </c>
      <c r="V103">
        <v>3410</v>
      </c>
      <c r="W103">
        <v>9</v>
      </c>
      <c r="X103">
        <v>0</v>
      </c>
      <c r="Y103">
        <v>0</v>
      </c>
      <c r="AA103">
        <f t="shared" si="14"/>
        <v>1</v>
      </c>
      <c r="AB103" t="str">
        <f t="shared" si="15"/>
        <v>0</v>
      </c>
      <c r="AC103">
        <f t="shared" si="16"/>
        <v>0</v>
      </c>
      <c r="AD103">
        <f t="shared" si="17"/>
        <v>0</v>
      </c>
      <c r="AE103">
        <f t="shared" si="18"/>
        <v>0</v>
      </c>
      <c r="AF103">
        <f t="shared" si="19"/>
        <v>0</v>
      </c>
    </row>
    <row r="104" spans="1:32" x14ac:dyDescent="0.3">
      <c r="A104">
        <v>33</v>
      </c>
      <c r="B104">
        <v>45</v>
      </c>
      <c r="C104">
        <v>170</v>
      </c>
      <c r="D104">
        <f t="shared" si="10"/>
        <v>15.570934256055365</v>
      </c>
      <c r="E104">
        <f t="shared" si="11"/>
        <v>0</v>
      </c>
      <c r="F104">
        <v>74</v>
      </c>
      <c r="G104">
        <f t="shared" si="12"/>
        <v>29</v>
      </c>
      <c r="H104">
        <v>0</v>
      </c>
      <c r="J104">
        <v>0</v>
      </c>
      <c r="K104">
        <v>0</v>
      </c>
      <c r="L104">
        <v>1</v>
      </c>
      <c r="M104">
        <v>38</v>
      </c>
      <c r="N104">
        <v>0</v>
      </c>
      <c r="O104">
        <f t="shared" si="13"/>
        <v>38</v>
      </c>
      <c r="P104">
        <v>0</v>
      </c>
      <c r="Q104">
        <v>1</v>
      </c>
      <c r="R104">
        <v>0</v>
      </c>
      <c r="T104">
        <v>0</v>
      </c>
      <c r="U104">
        <v>0</v>
      </c>
      <c r="V104">
        <v>3030</v>
      </c>
      <c r="W104">
        <v>8</v>
      </c>
      <c r="X104">
        <v>0</v>
      </c>
      <c r="Y104">
        <v>0</v>
      </c>
      <c r="AA104">
        <f t="shared" si="14"/>
        <v>1</v>
      </c>
      <c r="AB104" t="str">
        <f t="shared" si="15"/>
        <v>0</v>
      </c>
      <c r="AC104">
        <f t="shared" si="16"/>
        <v>0</v>
      </c>
      <c r="AD104">
        <f t="shared" si="17"/>
        <v>0</v>
      </c>
      <c r="AE104">
        <f t="shared" si="18"/>
        <v>0</v>
      </c>
      <c r="AF104">
        <f t="shared" si="19"/>
        <v>0</v>
      </c>
    </row>
    <row r="105" spans="1:32" x14ac:dyDescent="0.3">
      <c r="A105">
        <v>39</v>
      </c>
      <c r="B105">
        <v>100</v>
      </c>
      <c r="C105">
        <v>165</v>
      </c>
      <c r="D105">
        <f t="shared" si="10"/>
        <v>36.730945821854917</v>
      </c>
      <c r="E105">
        <f t="shared" si="11"/>
        <v>3</v>
      </c>
      <c r="F105">
        <v>110</v>
      </c>
      <c r="G105">
        <f t="shared" si="12"/>
        <v>10</v>
      </c>
      <c r="H105">
        <v>1</v>
      </c>
      <c r="I105" t="s">
        <v>32</v>
      </c>
      <c r="J105">
        <v>0</v>
      </c>
      <c r="K105">
        <v>0</v>
      </c>
      <c r="L105">
        <v>2</v>
      </c>
      <c r="M105">
        <v>39</v>
      </c>
      <c r="N105">
        <v>0</v>
      </c>
      <c r="O105">
        <f t="shared" si="13"/>
        <v>39</v>
      </c>
      <c r="P105">
        <v>1</v>
      </c>
      <c r="Q105">
        <v>0</v>
      </c>
      <c r="R105">
        <v>3</v>
      </c>
      <c r="S105" t="s">
        <v>50</v>
      </c>
      <c r="T105">
        <v>0</v>
      </c>
      <c r="U105">
        <v>0</v>
      </c>
      <c r="V105">
        <v>3940</v>
      </c>
      <c r="W105">
        <v>8</v>
      </c>
      <c r="X105">
        <v>1</v>
      </c>
      <c r="Y105">
        <v>0</v>
      </c>
      <c r="AA105">
        <f t="shared" si="14"/>
        <v>1</v>
      </c>
      <c r="AB105" t="str">
        <f t="shared" si="15"/>
        <v>2</v>
      </c>
      <c r="AC105">
        <f t="shared" si="16"/>
        <v>0</v>
      </c>
      <c r="AD105">
        <f t="shared" si="17"/>
        <v>0</v>
      </c>
      <c r="AE105">
        <f t="shared" si="18"/>
        <v>1</v>
      </c>
      <c r="AF105">
        <f t="shared" si="19"/>
        <v>0</v>
      </c>
    </row>
    <row r="106" spans="1:32" x14ac:dyDescent="0.3">
      <c r="A106">
        <v>27</v>
      </c>
      <c r="B106">
        <v>46</v>
      </c>
      <c r="C106">
        <v>152</v>
      </c>
      <c r="D106">
        <f t="shared" si="10"/>
        <v>19.909972299168974</v>
      </c>
      <c r="E106">
        <f t="shared" si="11"/>
        <v>1</v>
      </c>
      <c r="F106">
        <v>68</v>
      </c>
      <c r="G106">
        <f t="shared" si="12"/>
        <v>22</v>
      </c>
      <c r="H106">
        <v>0</v>
      </c>
      <c r="J106">
        <v>0</v>
      </c>
      <c r="K106">
        <v>0</v>
      </c>
      <c r="L106">
        <v>0</v>
      </c>
      <c r="M106">
        <v>38</v>
      </c>
      <c r="N106">
        <v>6</v>
      </c>
      <c r="O106">
        <f t="shared" si="13"/>
        <v>38.857142857142854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3120</v>
      </c>
      <c r="W106">
        <v>9</v>
      </c>
      <c r="X106">
        <v>0</v>
      </c>
      <c r="Y106">
        <v>0</v>
      </c>
      <c r="AA106">
        <f t="shared" si="14"/>
        <v>1</v>
      </c>
      <c r="AB106" t="str">
        <f t="shared" si="15"/>
        <v>0</v>
      </c>
      <c r="AC106">
        <f t="shared" si="16"/>
        <v>0</v>
      </c>
      <c r="AD106">
        <f t="shared" si="17"/>
        <v>0</v>
      </c>
      <c r="AE106">
        <f t="shared" si="18"/>
        <v>0</v>
      </c>
      <c r="AF106">
        <f t="shared" si="19"/>
        <v>0</v>
      </c>
    </row>
    <row r="107" spans="1:32" x14ac:dyDescent="0.3">
      <c r="A107">
        <v>31</v>
      </c>
      <c r="B107">
        <v>57</v>
      </c>
      <c r="C107">
        <v>162</v>
      </c>
      <c r="D107">
        <f t="shared" si="10"/>
        <v>21.719250114311837</v>
      </c>
      <c r="E107">
        <f t="shared" si="11"/>
        <v>1</v>
      </c>
      <c r="F107">
        <v>77.5</v>
      </c>
      <c r="G107">
        <f t="shared" si="12"/>
        <v>20.5</v>
      </c>
      <c r="H107">
        <v>0</v>
      </c>
      <c r="J107">
        <v>0</v>
      </c>
      <c r="K107">
        <v>0</v>
      </c>
      <c r="L107">
        <v>1</v>
      </c>
      <c r="M107">
        <v>40</v>
      </c>
      <c r="N107">
        <v>2</v>
      </c>
      <c r="O107">
        <f t="shared" si="13"/>
        <v>40.285714285714285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3310</v>
      </c>
      <c r="W107">
        <v>9</v>
      </c>
      <c r="X107">
        <v>0</v>
      </c>
      <c r="Y107">
        <v>0</v>
      </c>
      <c r="AA107">
        <f t="shared" si="14"/>
        <v>1</v>
      </c>
      <c r="AB107" t="str">
        <f t="shared" si="15"/>
        <v>0</v>
      </c>
      <c r="AC107">
        <f t="shared" si="16"/>
        <v>0</v>
      </c>
      <c r="AD107">
        <f t="shared" si="17"/>
        <v>0</v>
      </c>
      <c r="AE107">
        <f t="shared" si="18"/>
        <v>0</v>
      </c>
      <c r="AF107">
        <f t="shared" si="19"/>
        <v>0</v>
      </c>
    </row>
    <row r="108" spans="1:32" x14ac:dyDescent="0.3">
      <c r="A108">
        <v>31</v>
      </c>
      <c r="B108">
        <v>41</v>
      </c>
      <c r="C108">
        <v>155</v>
      </c>
      <c r="D108">
        <f t="shared" si="10"/>
        <v>17.065556711758582</v>
      </c>
      <c r="E108">
        <f t="shared" si="11"/>
        <v>0</v>
      </c>
      <c r="F108">
        <v>55</v>
      </c>
      <c r="G108">
        <f t="shared" si="12"/>
        <v>14</v>
      </c>
      <c r="H108">
        <v>0</v>
      </c>
      <c r="J108">
        <v>0</v>
      </c>
      <c r="K108">
        <v>0</v>
      </c>
      <c r="L108">
        <v>3</v>
      </c>
      <c r="M108">
        <v>39</v>
      </c>
      <c r="N108">
        <v>6</v>
      </c>
      <c r="O108">
        <f t="shared" si="13"/>
        <v>39.857142857142854</v>
      </c>
      <c r="P108">
        <v>0</v>
      </c>
      <c r="Q108">
        <v>0</v>
      </c>
      <c r="R108">
        <v>0</v>
      </c>
      <c r="T108">
        <v>1</v>
      </c>
      <c r="U108">
        <v>0</v>
      </c>
      <c r="V108">
        <v>2780</v>
      </c>
      <c r="W108">
        <v>9</v>
      </c>
      <c r="X108">
        <v>1</v>
      </c>
      <c r="Y108">
        <v>0</v>
      </c>
      <c r="AA108">
        <f t="shared" si="14"/>
        <v>0</v>
      </c>
      <c r="AB108" t="str">
        <f t="shared" si="15"/>
        <v>0</v>
      </c>
      <c r="AC108">
        <f t="shared" si="16"/>
        <v>0</v>
      </c>
      <c r="AD108">
        <f t="shared" si="17"/>
        <v>0</v>
      </c>
      <c r="AE108">
        <f t="shared" si="18"/>
        <v>0</v>
      </c>
      <c r="AF108">
        <f t="shared" si="19"/>
        <v>0</v>
      </c>
    </row>
    <row r="109" spans="1:32" x14ac:dyDescent="0.3">
      <c r="A109">
        <v>20</v>
      </c>
      <c r="B109">
        <v>39</v>
      </c>
      <c r="C109">
        <v>150</v>
      </c>
      <c r="D109">
        <f t="shared" si="10"/>
        <v>17.333333333333332</v>
      </c>
      <c r="E109">
        <f t="shared" si="11"/>
        <v>0</v>
      </c>
      <c r="F109">
        <v>49</v>
      </c>
      <c r="G109">
        <f t="shared" si="12"/>
        <v>10</v>
      </c>
      <c r="H109">
        <v>0</v>
      </c>
      <c r="J109">
        <v>0</v>
      </c>
      <c r="K109">
        <v>0</v>
      </c>
      <c r="L109">
        <v>1</v>
      </c>
      <c r="M109">
        <v>41</v>
      </c>
      <c r="N109">
        <v>2</v>
      </c>
      <c r="O109">
        <f t="shared" si="13"/>
        <v>41.285714285714285</v>
      </c>
      <c r="P109">
        <v>0</v>
      </c>
      <c r="Q109">
        <v>0</v>
      </c>
      <c r="R109">
        <v>0</v>
      </c>
      <c r="T109">
        <v>0</v>
      </c>
      <c r="U109">
        <v>0</v>
      </c>
      <c r="V109">
        <v>3170</v>
      </c>
      <c r="W109">
        <v>8</v>
      </c>
      <c r="X109">
        <v>0</v>
      </c>
      <c r="Y109">
        <v>0</v>
      </c>
      <c r="AA109">
        <f t="shared" si="14"/>
        <v>0</v>
      </c>
      <c r="AB109" t="str">
        <f t="shared" si="15"/>
        <v>0</v>
      </c>
      <c r="AC109">
        <f t="shared" si="16"/>
        <v>0</v>
      </c>
      <c r="AD109">
        <f t="shared" si="17"/>
        <v>0</v>
      </c>
      <c r="AE109">
        <f t="shared" si="18"/>
        <v>0</v>
      </c>
      <c r="AF109">
        <f t="shared" si="19"/>
        <v>0</v>
      </c>
    </row>
    <row r="110" spans="1:32" x14ac:dyDescent="0.3">
      <c r="A110">
        <v>30</v>
      </c>
      <c r="B110">
        <v>46</v>
      </c>
      <c r="C110">
        <v>160</v>
      </c>
      <c r="D110">
        <f t="shared" si="10"/>
        <v>17.968749999999996</v>
      </c>
      <c r="E110">
        <f t="shared" si="11"/>
        <v>0</v>
      </c>
      <c r="F110">
        <v>64</v>
      </c>
      <c r="G110">
        <f t="shared" si="12"/>
        <v>18</v>
      </c>
      <c r="H110">
        <v>0</v>
      </c>
      <c r="J110">
        <v>0</v>
      </c>
      <c r="K110">
        <v>0</v>
      </c>
      <c r="L110">
        <v>0</v>
      </c>
      <c r="M110">
        <v>40</v>
      </c>
      <c r="N110">
        <v>1</v>
      </c>
      <c r="O110">
        <f t="shared" si="13"/>
        <v>40.142857142857146</v>
      </c>
      <c r="P110">
        <v>0</v>
      </c>
      <c r="Q110">
        <v>0</v>
      </c>
      <c r="R110">
        <v>0</v>
      </c>
      <c r="T110">
        <v>0</v>
      </c>
      <c r="U110">
        <v>0</v>
      </c>
      <c r="V110">
        <v>2770</v>
      </c>
      <c r="W110">
        <v>9</v>
      </c>
      <c r="X110">
        <v>1</v>
      </c>
      <c r="Y110">
        <v>0</v>
      </c>
      <c r="AA110">
        <f t="shared" si="14"/>
        <v>0</v>
      </c>
      <c r="AB110" t="str">
        <f t="shared" si="15"/>
        <v>1</v>
      </c>
      <c r="AC110">
        <f t="shared" si="16"/>
        <v>0</v>
      </c>
      <c r="AD110">
        <f t="shared" si="17"/>
        <v>0</v>
      </c>
      <c r="AE110">
        <f t="shared" si="18"/>
        <v>0</v>
      </c>
      <c r="AF110">
        <f t="shared" si="19"/>
        <v>0</v>
      </c>
    </row>
    <row r="111" spans="1:32" x14ac:dyDescent="0.3">
      <c r="A111">
        <v>28</v>
      </c>
      <c r="B111">
        <v>51</v>
      </c>
      <c r="C111">
        <v>150</v>
      </c>
      <c r="D111">
        <f t="shared" si="10"/>
        <v>22.666666666666668</v>
      </c>
      <c r="E111">
        <f t="shared" si="11"/>
        <v>1</v>
      </c>
      <c r="F111">
        <v>62</v>
      </c>
      <c r="G111">
        <f t="shared" si="12"/>
        <v>11</v>
      </c>
      <c r="H111">
        <v>0</v>
      </c>
      <c r="J111">
        <v>0</v>
      </c>
      <c r="K111">
        <v>1</v>
      </c>
      <c r="L111">
        <v>1</v>
      </c>
      <c r="M111">
        <v>39</v>
      </c>
      <c r="N111">
        <v>0</v>
      </c>
      <c r="O111">
        <f t="shared" si="13"/>
        <v>39</v>
      </c>
      <c r="P111">
        <v>0</v>
      </c>
      <c r="Q111">
        <v>0</v>
      </c>
      <c r="R111">
        <v>3</v>
      </c>
      <c r="S111" t="s">
        <v>34</v>
      </c>
      <c r="T111">
        <v>0</v>
      </c>
      <c r="U111">
        <v>0</v>
      </c>
      <c r="V111">
        <v>3230</v>
      </c>
      <c r="W111">
        <v>9</v>
      </c>
      <c r="X111">
        <v>1</v>
      </c>
      <c r="Y111">
        <v>0</v>
      </c>
      <c r="AA111">
        <f t="shared" si="14"/>
        <v>0</v>
      </c>
      <c r="AB111" t="str">
        <f t="shared" si="15"/>
        <v>0</v>
      </c>
      <c r="AC111">
        <f t="shared" si="16"/>
        <v>0</v>
      </c>
      <c r="AD111">
        <f t="shared" si="17"/>
        <v>0</v>
      </c>
      <c r="AE111">
        <f t="shared" si="18"/>
        <v>1</v>
      </c>
      <c r="AF111">
        <f t="shared" si="19"/>
        <v>0</v>
      </c>
    </row>
    <row r="112" spans="1:32" x14ac:dyDescent="0.3">
      <c r="A112">
        <v>38</v>
      </c>
      <c r="B112">
        <v>60</v>
      </c>
      <c r="C112">
        <v>166</v>
      </c>
      <c r="D112">
        <f t="shared" si="10"/>
        <v>21.773842357381334</v>
      </c>
      <c r="E112">
        <f t="shared" si="11"/>
        <v>1</v>
      </c>
      <c r="F112">
        <v>77</v>
      </c>
      <c r="G112">
        <f t="shared" si="12"/>
        <v>17</v>
      </c>
      <c r="H112">
        <v>0</v>
      </c>
      <c r="J112">
        <v>0</v>
      </c>
      <c r="K112">
        <v>1</v>
      </c>
      <c r="L112">
        <v>2</v>
      </c>
      <c r="M112">
        <v>38</v>
      </c>
      <c r="N112">
        <v>5</v>
      </c>
      <c r="O112">
        <f t="shared" si="13"/>
        <v>38.714285714285715</v>
      </c>
      <c r="P112">
        <v>0</v>
      </c>
      <c r="Q112">
        <v>0</v>
      </c>
      <c r="R112">
        <v>3</v>
      </c>
      <c r="S112" t="s">
        <v>34</v>
      </c>
      <c r="T112">
        <v>0</v>
      </c>
      <c r="U112">
        <v>0</v>
      </c>
      <c r="V112">
        <v>2840</v>
      </c>
      <c r="W112">
        <v>9</v>
      </c>
      <c r="X112">
        <v>1</v>
      </c>
      <c r="Y112">
        <v>0</v>
      </c>
      <c r="AA112">
        <f t="shared" si="14"/>
        <v>1</v>
      </c>
      <c r="AB112" t="str">
        <f t="shared" si="15"/>
        <v>0</v>
      </c>
      <c r="AC112">
        <f t="shared" si="16"/>
        <v>0</v>
      </c>
      <c r="AD112">
        <f t="shared" si="17"/>
        <v>0</v>
      </c>
      <c r="AE112">
        <f t="shared" si="18"/>
        <v>1</v>
      </c>
      <c r="AF112">
        <f t="shared" si="19"/>
        <v>0</v>
      </c>
    </row>
    <row r="113" spans="1:32" x14ac:dyDescent="0.3">
      <c r="A113">
        <v>35</v>
      </c>
      <c r="B113">
        <v>56</v>
      </c>
      <c r="C113">
        <v>158</v>
      </c>
      <c r="D113">
        <f t="shared" si="10"/>
        <v>22.432302515622492</v>
      </c>
      <c r="E113">
        <f t="shared" si="11"/>
        <v>1</v>
      </c>
      <c r="F113">
        <v>57</v>
      </c>
      <c r="G113">
        <f t="shared" si="12"/>
        <v>1</v>
      </c>
      <c r="H113">
        <v>0</v>
      </c>
      <c r="J113">
        <v>0</v>
      </c>
      <c r="K113">
        <v>1</v>
      </c>
      <c r="L113">
        <v>1</v>
      </c>
      <c r="M113">
        <v>38</v>
      </c>
      <c r="N113">
        <v>6</v>
      </c>
      <c r="O113">
        <f t="shared" si="13"/>
        <v>38.857142857142854</v>
      </c>
      <c r="P113">
        <v>1</v>
      </c>
      <c r="Q113">
        <v>0</v>
      </c>
      <c r="R113">
        <v>3</v>
      </c>
      <c r="S113" t="s">
        <v>34</v>
      </c>
      <c r="T113">
        <v>0</v>
      </c>
      <c r="U113">
        <v>0</v>
      </c>
      <c r="V113">
        <v>2660</v>
      </c>
      <c r="W113">
        <v>9</v>
      </c>
      <c r="X113">
        <v>1</v>
      </c>
      <c r="Y113">
        <v>0</v>
      </c>
      <c r="AA113">
        <f t="shared" si="14"/>
        <v>0</v>
      </c>
      <c r="AB113" t="str">
        <f t="shared" si="15"/>
        <v>0</v>
      </c>
      <c r="AC113">
        <f t="shared" si="16"/>
        <v>0</v>
      </c>
      <c r="AD113">
        <f t="shared" si="17"/>
        <v>0</v>
      </c>
      <c r="AE113">
        <f t="shared" si="18"/>
        <v>1</v>
      </c>
      <c r="AF113">
        <f t="shared" si="19"/>
        <v>0</v>
      </c>
    </row>
    <row r="114" spans="1:32" x14ac:dyDescent="0.3">
      <c r="A114">
        <v>32</v>
      </c>
      <c r="B114">
        <v>57</v>
      </c>
      <c r="C114">
        <v>160</v>
      </c>
      <c r="D114">
        <f t="shared" si="10"/>
        <v>22.265624999999996</v>
      </c>
      <c r="E114">
        <f t="shared" si="11"/>
        <v>1</v>
      </c>
      <c r="F114">
        <v>75</v>
      </c>
      <c r="G114">
        <f t="shared" si="12"/>
        <v>18</v>
      </c>
      <c r="H114">
        <v>1</v>
      </c>
      <c r="I114" t="s">
        <v>37</v>
      </c>
      <c r="J114">
        <v>0</v>
      </c>
      <c r="K114">
        <v>0</v>
      </c>
      <c r="L114">
        <v>2</v>
      </c>
      <c r="M114">
        <v>39</v>
      </c>
      <c r="N114">
        <v>1</v>
      </c>
      <c r="O114">
        <f t="shared" si="13"/>
        <v>39.142857142857146</v>
      </c>
      <c r="P114">
        <v>0</v>
      </c>
      <c r="Q114">
        <v>0</v>
      </c>
      <c r="R114">
        <v>3</v>
      </c>
      <c r="S114" t="s">
        <v>49</v>
      </c>
      <c r="T114">
        <v>0</v>
      </c>
      <c r="U114">
        <v>0</v>
      </c>
      <c r="V114">
        <v>3370</v>
      </c>
      <c r="W114">
        <v>9</v>
      </c>
      <c r="X114">
        <v>1</v>
      </c>
      <c r="Y114">
        <v>0</v>
      </c>
      <c r="AA114">
        <f t="shared" si="14"/>
        <v>1</v>
      </c>
      <c r="AB114" t="str">
        <f t="shared" si="15"/>
        <v>0</v>
      </c>
      <c r="AC114">
        <f t="shared" si="16"/>
        <v>0</v>
      </c>
      <c r="AD114">
        <f t="shared" si="17"/>
        <v>0</v>
      </c>
      <c r="AE114">
        <f t="shared" si="18"/>
        <v>1</v>
      </c>
      <c r="AF114">
        <f t="shared" si="19"/>
        <v>0</v>
      </c>
    </row>
    <row r="115" spans="1:32" x14ac:dyDescent="0.3">
      <c r="A115">
        <v>35</v>
      </c>
      <c r="B115">
        <v>75</v>
      </c>
      <c r="C115">
        <v>165</v>
      </c>
      <c r="D115">
        <f t="shared" si="10"/>
        <v>27.548209366391188</v>
      </c>
      <c r="E115">
        <f t="shared" si="11"/>
        <v>3</v>
      </c>
      <c r="F115">
        <v>92</v>
      </c>
      <c r="G115">
        <f t="shared" si="12"/>
        <v>17</v>
      </c>
      <c r="H115">
        <v>1</v>
      </c>
      <c r="I115" t="s">
        <v>32</v>
      </c>
      <c r="J115">
        <v>0</v>
      </c>
      <c r="K115">
        <v>0</v>
      </c>
      <c r="L115">
        <v>0</v>
      </c>
      <c r="M115">
        <v>38</v>
      </c>
      <c r="N115">
        <v>2</v>
      </c>
      <c r="O115">
        <f t="shared" si="13"/>
        <v>38.285714285714285</v>
      </c>
      <c r="P115">
        <v>0</v>
      </c>
      <c r="Q115">
        <v>0</v>
      </c>
      <c r="R115">
        <v>3</v>
      </c>
      <c r="S115" t="s">
        <v>36</v>
      </c>
      <c r="T115">
        <v>0</v>
      </c>
      <c r="U115">
        <v>0</v>
      </c>
      <c r="V115">
        <v>3750</v>
      </c>
      <c r="W115">
        <v>8</v>
      </c>
      <c r="X115">
        <v>1</v>
      </c>
      <c r="Y115">
        <v>0</v>
      </c>
      <c r="AA115">
        <f t="shared" si="14"/>
        <v>1</v>
      </c>
      <c r="AB115" t="str">
        <f t="shared" si="15"/>
        <v>2</v>
      </c>
      <c r="AC115">
        <f t="shared" si="16"/>
        <v>0</v>
      </c>
      <c r="AD115">
        <f t="shared" si="17"/>
        <v>0</v>
      </c>
      <c r="AE115">
        <f t="shared" si="18"/>
        <v>1</v>
      </c>
      <c r="AF115">
        <f t="shared" si="19"/>
        <v>0</v>
      </c>
    </row>
    <row r="116" spans="1:32" x14ac:dyDescent="0.3">
      <c r="A116">
        <v>34</v>
      </c>
      <c r="B116">
        <v>35</v>
      </c>
      <c r="C116">
        <v>150</v>
      </c>
      <c r="D116">
        <f t="shared" si="10"/>
        <v>15.555555555555555</v>
      </c>
      <c r="E116">
        <f t="shared" si="11"/>
        <v>0</v>
      </c>
      <c r="F116">
        <v>50</v>
      </c>
      <c r="G116">
        <f t="shared" si="12"/>
        <v>15</v>
      </c>
      <c r="H116">
        <v>0</v>
      </c>
      <c r="J116">
        <v>0</v>
      </c>
      <c r="K116">
        <v>0</v>
      </c>
      <c r="L116">
        <v>0</v>
      </c>
      <c r="M116">
        <v>40</v>
      </c>
      <c r="N116">
        <v>0</v>
      </c>
      <c r="O116">
        <f t="shared" si="13"/>
        <v>40</v>
      </c>
      <c r="P116">
        <v>0</v>
      </c>
      <c r="Q116">
        <v>0</v>
      </c>
      <c r="R116">
        <v>2</v>
      </c>
      <c r="S116" t="s">
        <v>51</v>
      </c>
      <c r="T116">
        <v>0</v>
      </c>
      <c r="U116">
        <v>0</v>
      </c>
      <c r="V116">
        <v>3200</v>
      </c>
      <c r="W116">
        <v>8</v>
      </c>
      <c r="X116">
        <v>1</v>
      </c>
      <c r="Y116">
        <v>0</v>
      </c>
      <c r="AA116">
        <f t="shared" si="14"/>
        <v>0</v>
      </c>
      <c r="AB116" t="str">
        <f t="shared" si="15"/>
        <v>0</v>
      </c>
      <c r="AC116">
        <f t="shared" si="16"/>
        <v>0</v>
      </c>
      <c r="AD116">
        <f t="shared" si="17"/>
        <v>0</v>
      </c>
      <c r="AE116">
        <f t="shared" si="18"/>
        <v>0</v>
      </c>
      <c r="AF116">
        <f t="shared" si="19"/>
        <v>0</v>
      </c>
    </row>
    <row r="117" spans="1:32" x14ac:dyDescent="0.3">
      <c r="A117">
        <v>41</v>
      </c>
      <c r="B117">
        <v>62</v>
      </c>
      <c r="C117">
        <v>155</v>
      </c>
      <c r="D117">
        <f t="shared" si="10"/>
        <v>25.806451612903224</v>
      </c>
      <c r="E117">
        <f t="shared" si="11"/>
        <v>3</v>
      </c>
      <c r="F117">
        <v>74</v>
      </c>
      <c r="G117">
        <f t="shared" si="12"/>
        <v>12</v>
      </c>
      <c r="H117">
        <v>1</v>
      </c>
      <c r="I117" t="s">
        <v>32</v>
      </c>
      <c r="J117">
        <v>0</v>
      </c>
      <c r="K117">
        <v>0</v>
      </c>
      <c r="L117">
        <v>1</v>
      </c>
      <c r="M117">
        <v>37</v>
      </c>
      <c r="N117">
        <v>1</v>
      </c>
      <c r="O117">
        <f t="shared" si="13"/>
        <v>37.142857142857146</v>
      </c>
      <c r="P117">
        <v>1</v>
      </c>
      <c r="Q117">
        <v>0</v>
      </c>
      <c r="R117">
        <v>0</v>
      </c>
      <c r="T117">
        <v>0</v>
      </c>
      <c r="U117">
        <v>0</v>
      </c>
      <c r="V117">
        <v>2890</v>
      </c>
      <c r="W117">
        <v>8</v>
      </c>
      <c r="X117">
        <v>1</v>
      </c>
      <c r="Y117">
        <v>0</v>
      </c>
      <c r="AA117">
        <f t="shared" si="14"/>
        <v>1</v>
      </c>
      <c r="AB117" t="str">
        <f t="shared" si="15"/>
        <v>0</v>
      </c>
      <c r="AC117">
        <f t="shared" si="16"/>
        <v>0</v>
      </c>
      <c r="AD117">
        <f t="shared" si="17"/>
        <v>0</v>
      </c>
      <c r="AE117">
        <f t="shared" si="18"/>
        <v>0</v>
      </c>
      <c r="AF117">
        <f t="shared" si="19"/>
        <v>0</v>
      </c>
    </row>
    <row r="118" spans="1:32" x14ac:dyDescent="0.3">
      <c r="A118">
        <v>29</v>
      </c>
      <c r="B118">
        <v>59</v>
      </c>
      <c r="C118">
        <v>158</v>
      </c>
      <c r="D118">
        <f t="shared" si="10"/>
        <v>23.634033007530842</v>
      </c>
      <c r="E118">
        <f t="shared" si="11"/>
        <v>2</v>
      </c>
      <c r="F118">
        <v>78</v>
      </c>
      <c r="G118">
        <f t="shared" si="12"/>
        <v>19</v>
      </c>
      <c r="H118">
        <v>0</v>
      </c>
      <c r="J118">
        <v>0</v>
      </c>
      <c r="K118">
        <v>0</v>
      </c>
      <c r="L118">
        <v>0</v>
      </c>
      <c r="M118">
        <v>39</v>
      </c>
      <c r="N118">
        <v>0</v>
      </c>
      <c r="O118">
        <f t="shared" si="13"/>
        <v>39</v>
      </c>
      <c r="P118">
        <v>0</v>
      </c>
      <c r="Q118">
        <v>0</v>
      </c>
      <c r="R118">
        <v>0</v>
      </c>
      <c r="T118">
        <v>3</v>
      </c>
      <c r="U118">
        <v>0</v>
      </c>
      <c r="V118">
        <v>2850</v>
      </c>
      <c r="W118">
        <v>9</v>
      </c>
      <c r="X118">
        <v>0</v>
      </c>
      <c r="Y118">
        <v>0</v>
      </c>
      <c r="AA118">
        <f t="shared" si="14"/>
        <v>1</v>
      </c>
      <c r="AB118" t="str">
        <f t="shared" si="15"/>
        <v>0</v>
      </c>
      <c r="AC118">
        <f t="shared" si="16"/>
        <v>0</v>
      </c>
      <c r="AD118">
        <f t="shared" si="17"/>
        <v>0</v>
      </c>
      <c r="AE118">
        <f t="shared" si="18"/>
        <v>0</v>
      </c>
      <c r="AF118">
        <f t="shared" si="19"/>
        <v>0</v>
      </c>
    </row>
    <row r="119" spans="1:32" x14ac:dyDescent="0.3">
      <c r="A119">
        <v>25</v>
      </c>
      <c r="B119">
        <v>65</v>
      </c>
      <c r="C119">
        <v>165</v>
      </c>
      <c r="D119">
        <f t="shared" si="10"/>
        <v>23.875114784205696</v>
      </c>
      <c r="E119">
        <f t="shared" si="11"/>
        <v>2</v>
      </c>
      <c r="F119">
        <v>88</v>
      </c>
      <c r="G119">
        <f t="shared" si="12"/>
        <v>23</v>
      </c>
      <c r="H119">
        <v>0</v>
      </c>
      <c r="J119">
        <v>0</v>
      </c>
      <c r="K119">
        <v>0</v>
      </c>
      <c r="L119">
        <v>2</v>
      </c>
      <c r="M119">
        <v>40</v>
      </c>
      <c r="N119">
        <v>1</v>
      </c>
      <c r="O119">
        <f t="shared" si="13"/>
        <v>40.142857142857146</v>
      </c>
      <c r="P119">
        <v>0</v>
      </c>
      <c r="Q119">
        <v>0</v>
      </c>
      <c r="R119">
        <v>0</v>
      </c>
      <c r="T119">
        <v>2</v>
      </c>
      <c r="U119">
        <v>0</v>
      </c>
      <c r="V119">
        <v>3910</v>
      </c>
      <c r="W119">
        <v>8</v>
      </c>
      <c r="X119">
        <v>0</v>
      </c>
      <c r="Y119">
        <v>0</v>
      </c>
      <c r="AA119">
        <f t="shared" si="14"/>
        <v>1</v>
      </c>
      <c r="AB119" t="str">
        <f t="shared" si="15"/>
        <v>2</v>
      </c>
      <c r="AC119">
        <f t="shared" si="16"/>
        <v>0</v>
      </c>
      <c r="AD119">
        <f t="shared" si="17"/>
        <v>0</v>
      </c>
      <c r="AE119">
        <f t="shared" si="18"/>
        <v>0</v>
      </c>
      <c r="AF119">
        <f t="shared" si="19"/>
        <v>0</v>
      </c>
    </row>
    <row r="120" spans="1:32" x14ac:dyDescent="0.3">
      <c r="A120">
        <v>20</v>
      </c>
      <c r="B120">
        <v>49</v>
      </c>
      <c r="C120">
        <v>165</v>
      </c>
      <c r="D120">
        <f t="shared" si="10"/>
        <v>17.998163452708908</v>
      </c>
      <c r="E120">
        <f t="shared" si="11"/>
        <v>0</v>
      </c>
      <c r="F120">
        <v>68</v>
      </c>
      <c r="G120">
        <f t="shared" si="12"/>
        <v>19</v>
      </c>
      <c r="H120">
        <v>0</v>
      </c>
      <c r="J120">
        <v>0</v>
      </c>
      <c r="K120">
        <v>0</v>
      </c>
      <c r="L120">
        <v>1</v>
      </c>
      <c r="M120">
        <v>39</v>
      </c>
      <c r="N120">
        <v>1</v>
      </c>
      <c r="O120">
        <f t="shared" si="13"/>
        <v>39.142857142857146</v>
      </c>
      <c r="P120">
        <v>0</v>
      </c>
      <c r="Q120">
        <v>0</v>
      </c>
      <c r="R120">
        <v>0</v>
      </c>
      <c r="T120">
        <v>0</v>
      </c>
      <c r="U120">
        <v>0</v>
      </c>
      <c r="V120">
        <v>4090</v>
      </c>
      <c r="W120">
        <v>8</v>
      </c>
      <c r="X120">
        <v>1</v>
      </c>
      <c r="Y120">
        <v>0</v>
      </c>
      <c r="AA120">
        <f t="shared" si="14"/>
        <v>1</v>
      </c>
      <c r="AB120" t="str">
        <f t="shared" si="15"/>
        <v>2</v>
      </c>
      <c r="AC120">
        <f t="shared" si="16"/>
        <v>1</v>
      </c>
      <c r="AD120">
        <f t="shared" si="17"/>
        <v>0</v>
      </c>
      <c r="AE120">
        <f t="shared" si="18"/>
        <v>0</v>
      </c>
      <c r="AF120">
        <f t="shared" si="19"/>
        <v>0</v>
      </c>
    </row>
    <row r="121" spans="1:32" x14ac:dyDescent="0.3">
      <c r="A121">
        <v>42</v>
      </c>
      <c r="B121">
        <v>52</v>
      </c>
      <c r="C121">
        <v>150</v>
      </c>
      <c r="D121">
        <f t="shared" si="10"/>
        <v>23.111111111111111</v>
      </c>
      <c r="E121">
        <f t="shared" si="11"/>
        <v>2</v>
      </c>
      <c r="F121">
        <v>62.5</v>
      </c>
      <c r="G121">
        <f t="shared" si="12"/>
        <v>10.5</v>
      </c>
      <c r="H121">
        <v>0</v>
      </c>
      <c r="J121">
        <v>0</v>
      </c>
      <c r="K121">
        <v>0</v>
      </c>
      <c r="L121">
        <v>1</v>
      </c>
      <c r="M121">
        <v>40</v>
      </c>
      <c r="N121">
        <v>0</v>
      </c>
      <c r="O121">
        <f t="shared" si="13"/>
        <v>40</v>
      </c>
      <c r="P121">
        <v>0</v>
      </c>
      <c r="Q121">
        <v>0</v>
      </c>
      <c r="R121">
        <v>0</v>
      </c>
      <c r="T121">
        <v>0</v>
      </c>
      <c r="U121">
        <v>0</v>
      </c>
      <c r="V121">
        <v>2850</v>
      </c>
      <c r="W121">
        <v>9</v>
      </c>
      <c r="X121">
        <v>1</v>
      </c>
      <c r="Y121">
        <v>0</v>
      </c>
      <c r="AA121">
        <f t="shared" si="14"/>
        <v>0</v>
      </c>
      <c r="AB121" t="str">
        <f t="shared" si="15"/>
        <v>0</v>
      </c>
      <c r="AC121">
        <f t="shared" si="16"/>
        <v>0</v>
      </c>
      <c r="AD121">
        <f t="shared" si="17"/>
        <v>0</v>
      </c>
      <c r="AE121">
        <f t="shared" si="18"/>
        <v>0</v>
      </c>
      <c r="AF121">
        <f t="shared" si="19"/>
        <v>0</v>
      </c>
    </row>
    <row r="122" spans="1:32" x14ac:dyDescent="0.3">
      <c r="A122">
        <v>29</v>
      </c>
      <c r="B122">
        <v>60</v>
      </c>
      <c r="C122">
        <v>165</v>
      </c>
      <c r="D122">
        <f t="shared" si="10"/>
        <v>22.03856749311295</v>
      </c>
      <c r="E122">
        <f t="shared" si="11"/>
        <v>1</v>
      </c>
      <c r="F122">
        <v>73</v>
      </c>
      <c r="G122">
        <f t="shared" si="12"/>
        <v>13</v>
      </c>
      <c r="H122">
        <v>1</v>
      </c>
      <c r="I122" t="s">
        <v>52</v>
      </c>
      <c r="J122">
        <v>0</v>
      </c>
      <c r="K122">
        <v>0</v>
      </c>
      <c r="L122">
        <v>2</v>
      </c>
      <c r="M122">
        <v>39</v>
      </c>
      <c r="N122">
        <v>0</v>
      </c>
      <c r="O122">
        <f t="shared" si="13"/>
        <v>39</v>
      </c>
      <c r="P122">
        <v>0</v>
      </c>
      <c r="Q122">
        <v>0</v>
      </c>
      <c r="R122">
        <v>0</v>
      </c>
      <c r="T122">
        <v>0</v>
      </c>
      <c r="U122">
        <v>0</v>
      </c>
      <c r="V122">
        <v>3340</v>
      </c>
      <c r="W122">
        <v>9</v>
      </c>
      <c r="X122">
        <v>0</v>
      </c>
      <c r="Y122">
        <v>0</v>
      </c>
      <c r="AA122">
        <f t="shared" si="14"/>
        <v>0</v>
      </c>
      <c r="AB122" t="str">
        <f t="shared" si="15"/>
        <v>0</v>
      </c>
      <c r="AC122">
        <f t="shared" si="16"/>
        <v>0</v>
      </c>
      <c r="AD122">
        <f t="shared" si="17"/>
        <v>0</v>
      </c>
      <c r="AE122">
        <f t="shared" si="18"/>
        <v>0</v>
      </c>
      <c r="AF122">
        <f t="shared" si="19"/>
        <v>0</v>
      </c>
    </row>
    <row r="123" spans="1:32" x14ac:dyDescent="0.3">
      <c r="A123">
        <v>32</v>
      </c>
      <c r="B123">
        <v>60</v>
      </c>
      <c r="C123">
        <v>157</v>
      </c>
      <c r="D123">
        <f t="shared" si="10"/>
        <v>24.341758286340216</v>
      </c>
      <c r="E123">
        <f t="shared" si="11"/>
        <v>2</v>
      </c>
      <c r="F123">
        <v>71</v>
      </c>
      <c r="G123">
        <f t="shared" si="12"/>
        <v>11</v>
      </c>
      <c r="H123">
        <v>1</v>
      </c>
      <c r="I123" t="s">
        <v>52</v>
      </c>
      <c r="J123">
        <v>0</v>
      </c>
      <c r="K123">
        <v>0</v>
      </c>
      <c r="L123">
        <v>2</v>
      </c>
      <c r="M123">
        <v>38</v>
      </c>
      <c r="N123">
        <v>0</v>
      </c>
      <c r="O123">
        <f t="shared" si="13"/>
        <v>38</v>
      </c>
      <c r="P123">
        <v>0</v>
      </c>
      <c r="Q123">
        <v>0</v>
      </c>
      <c r="R123">
        <v>0</v>
      </c>
      <c r="T123">
        <v>2</v>
      </c>
      <c r="U123">
        <v>0</v>
      </c>
      <c r="V123">
        <v>2830</v>
      </c>
      <c r="W123">
        <v>8</v>
      </c>
      <c r="X123">
        <v>0</v>
      </c>
      <c r="Y123">
        <v>0</v>
      </c>
      <c r="AA123">
        <f t="shared" si="14"/>
        <v>0</v>
      </c>
      <c r="AB123" t="str">
        <f t="shared" si="15"/>
        <v>0</v>
      </c>
      <c r="AC123">
        <f t="shared" si="16"/>
        <v>0</v>
      </c>
      <c r="AD123">
        <f t="shared" si="17"/>
        <v>0</v>
      </c>
      <c r="AE123">
        <f t="shared" si="18"/>
        <v>0</v>
      </c>
      <c r="AF123">
        <f t="shared" si="19"/>
        <v>0</v>
      </c>
    </row>
    <row r="124" spans="1:32" x14ac:dyDescent="0.3">
      <c r="A124">
        <v>20</v>
      </c>
      <c r="B124">
        <v>58</v>
      </c>
      <c r="C124">
        <v>156</v>
      </c>
      <c r="D124">
        <f t="shared" si="10"/>
        <v>23.83300460223537</v>
      </c>
      <c r="E124">
        <f t="shared" si="11"/>
        <v>2</v>
      </c>
      <c r="F124">
        <v>65</v>
      </c>
      <c r="G124">
        <f t="shared" si="12"/>
        <v>7</v>
      </c>
      <c r="H124">
        <v>0</v>
      </c>
      <c r="J124">
        <v>0</v>
      </c>
      <c r="K124">
        <v>0</v>
      </c>
      <c r="L124">
        <v>0</v>
      </c>
      <c r="M124">
        <v>40</v>
      </c>
      <c r="N124">
        <v>0</v>
      </c>
      <c r="O124">
        <f t="shared" si="13"/>
        <v>40</v>
      </c>
      <c r="P124">
        <v>0</v>
      </c>
      <c r="Q124">
        <v>0</v>
      </c>
      <c r="R124">
        <v>0</v>
      </c>
      <c r="T124">
        <v>0</v>
      </c>
      <c r="U124">
        <v>0</v>
      </c>
      <c r="V124">
        <v>3300</v>
      </c>
      <c r="W124">
        <v>8</v>
      </c>
      <c r="X124">
        <v>0</v>
      </c>
      <c r="Y124">
        <v>0</v>
      </c>
      <c r="AA124">
        <f t="shared" si="14"/>
        <v>0</v>
      </c>
      <c r="AB124" t="str">
        <f t="shared" si="15"/>
        <v>0</v>
      </c>
      <c r="AC124">
        <f t="shared" si="16"/>
        <v>0</v>
      </c>
      <c r="AD124">
        <f t="shared" si="17"/>
        <v>0</v>
      </c>
      <c r="AE124">
        <f t="shared" si="18"/>
        <v>0</v>
      </c>
      <c r="AF124">
        <f t="shared" si="19"/>
        <v>0</v>
      </c>
    </row>
    <row r="125" spans="1:32" x14ac:dyDescent="0.3">
      <c r="A125">
        <v>36</v>
      </c>
      <c r="B125">
        <v>42</v>
      </c>
      <c r="C125">
        <v>153</v>
      </c>
      <c r="D125">
        <f t="shared" si="10"/>
        <v>17.941817249775728</v>
      </c>
      <c r="E125">
        <f t="shared" si="11"/>
        <v>0</v>
      </c>
      <c r="F125">
        <v>61</v>
      </c>
      <c r="G125">
        <f t="shared" si="12"/>
        <v>19</v>
      </c>
      <c r="H125">
        <v>1</v>
      </c>
      <c r="I125" t="s">
        <v>41</v>
      </c>
      <c r="J125">
        <v>0</v>
      </c>
      <c r="K125">
        <v>0</v>
      </c>
      <c r="L125">
        <v>0</v>
      </c>
      <c r="M125">
        <v>39</v>
      </c>
      <c r="N125">
        <v>5</v>
      </c>
      <c r="O125">
        <f t="shared" si="13"/>
        <v>39.714285714285715</v>
      </c>
      <c r="P125">
        <v>0</v>
      </c>
      <c r="Q125">
        <v>0</v>
      </c>
      <c r="R125">
        <v>3</v>
      </c>
      <c r="S125" t="s">
        <v>53</v>
      </c>
      <c r="T125">
        <v>0</v>
      </c>
      <c r="U125">
        <v>0</v>
      </c>
      <c r="V125">
        <v>3090</v>
      </c>
      <c r="W125">
        <v>9</v>
      </c>
      <c r="X125">
        <v>1</v>
      </c>
      <c r="Y125">
        <v>0</v>
      </c>
      <c r="AA125">
        <f t="shared" si="14"/>
        <v>1</v>
      </c>
      <c r="AB125" t="str">
        <f t="shared" si="15"/>
        <v>0</v>
      </c>
      <c r="AC125">
        <f t="shared" si="16"/>
        <v>0</v>
      </c>
      <c r="AD125">
        <f t="shared" si="17"/>
        <v>0</v>
      </c>
      <c r="AE125">
        <f t="shared" si="18"/>
        <v>1</v>
      </c>
      <c r="AF125">
        <f t="shared" si="19"/>
        <v>0</v>
      </c>
    </row>
    <row r="126" spans="1:32" x14ac:dyDescent="0.3">
      <c r="A126">
        <v>26</v>
      </c>
      <c r="B126">
        <v>46</v>
      </c>
      <c r="C126">
        <v>165</v>
      </c>
      <c r="D126">
        <f t="shared" si="10"/>
        <v>16.896235078053262</v>
      </c>
      <c r="E126">
        <f t="shared" si="11"/>
        <v>0</v>
      </c>
      <c r="F126">
        <v>57</v>
      </c>
      <c r="G126">
        <f t="shared" si="12"/>
        <v>11</v>
      </c>
      <c r="H126">
        <v>0</v>
      </c>
      <c r="J126">
        <v>0</v>
      </c>
      <c r="K126">
        <v>0</v>
      </c>
      <c r="L126">
        <v>0</v>
      </c>
      <c r="M126">
        <v>39</v>
      </c>
      <c r="N126">
        <v>2</v>
      </c>
      <c r="O126">
        <f t="shared" si="13"/>
        <v>39.285714285714285</v>
      </c>
      <c r="P126">
        <v>0</v>
      </c>
      <c r="Q126">
        <v>0</v>
      </c>
      <c r="R126">
        <v>0</v>
      </c>
      <c r="T126">
        <v>0</v>
      </c>
      <c r="U126">
        <v>0</v>
      </c>
      <c r="V126">
        <v>3190</v>
      </c>
      <c r="W126">
        <v>8</v>
      </c>
      <c r="X126">
        <v>1</v>
      </c>
      <c r="Y126">
        <v>0</v>
      </c>
      <c r="AA126">
        <f t="shared" si="14"/>
        <v>0</v>
      </c>
      <c r="AB126" t="str">
        <f t="shared" si="15"/>
        <v>0</v>
      </c>
      <c r="AC126">
        <f t="shared" si="16"/>
        <v>0</v>
      </c>
      <c r="AD126">
        <f t="shared" si="17"/>
        <v>0</v>
      </c>
      <c r="AE126">
        <f t="shared" si="18"/>
        <v>0</v>
      </c>
      <c r="AF126">
        <f t="shared" si="19"/>
        <v>0</v>
      </c>
    </row>
    <row r="127" spans="1:32" x14ac:dyDescent="0.3">
      <c r="A127">
        <v>36</v>
      </c>
      <c r="B127">
        <v>74</v>
      </c>
      <c r="C127">
        <v>157</v>
      </c>
      <c r="D127">
        <f t="shared" si="10"/>
        <v>30.021501886486266</v>
      </c>
      <c r="E127">
        <f t="shared" si="11"/>
        <v>3</v>
      </c>
      <c r="F127">
        <v>97</v>
      </c>
      <c r="G127">
        <f t="shared" si="12"/>
        <v>23</v>
      </c>
      <c r="H127">
        <v>1</v>
      </c>
      <c r="I127" t="s">
        <v>32</v>
      </c>
      <c r="J127">
        <v>0</v>
      </c>
      <c r="K127">
        <v>0</v>
      </c>
      <c r="L127">
        <v>0</v>
      </c>
      <c r="M127">
        <v>38</v>
      </c>
      <c r="N127">
        <v>2</v>
      </c>
      <c r="O127">
        <f t="shared" si="13"/>
        <v>38.285714285714285</v>
      </c>
      <c r="P127">
        <v>0</v>
      </c>
      <c r="Q127">
        <v>1</v>
      </c>
      <c r="R127">
        <v>3</v>
      </c>
      <c r="S127" t="s">
        <v>54</v>
      </c>
      <c r="T127">
        <v>0</v>
      </c>
      <c r="U127">
        <v>0</v>
      </c>
      <c r="V127">
        <v>2800</v>
      </c>
      <c r="W127">
        <v>8</v>
      </c>
      <c r="X127">
        <v>1</v>
      </c>
      <c r="Y127">
        <v>0</v>
      </c>
      <c r="AA127">
        <f t="shared" si="14"/>
        <v>1</v>
      </c>
      <c r="AB127" t="str">
        <f t="shared" si="15"/>
        <v>0</v>
      </c>
      <c r="AC127">
        <f t="shared" si="16"/>
        <v>0</v>
      </c>
      <c r="AD127">
        <f t="shared" si="17"/>
        <v>0</v>
      </c>
      <c r="AE127">
        <f t="shared" si="18"/>
        <v>1</v>
      </c>
      <c r="AF127">
        <f t="shared" si="19"/>
        <v>0</v>
      </c>
    </row>
    <row r="128" spans="1:32" x14ac:dyDescent="0.3">
      <c r="A128">
        <v>26</v>
      </c>
      <c r="B128">
        <v>39</v>
      </c>
      <c r="C128">
        <v>157</v>
      </c>
      <c r="D128">
        <f t="shared" si="10"/>
        <v>15.82214288612114</v>
      </c>
      <c r="E128">
        <f t="shared" si="11"/>
        <v>0</v>
      </c>
      <c r="F128">
        <v>55</v>
      </c>
      <c r="G128">
        <f t="shared" si="12"/>
        <v>16</v>
      </c>
      <c r="H128">
        <v>0</v>
      </c>
      <c r="J128">
        <v>0</v>
      </c>
      <c r="K128">
        <v>0</v>
      </c>
      <c r="L128">
        <v>0</v>
      </c>
      <c r="M128">
        <v>40</v>
      </c>
      <c r="N128">
        <v>4</v>
      </c>
      <c r="O128">
        <f t="shared" si="13"/>
        <v>40.571428571428569</v>
      </c>
      <c r="P128">
        <v>0</v>
      </c>
      <c r="Q128">
        <v>0</v>
      </c>
      <c r="R128">
        <v>0</v>
      </c>
      <c r="T128">
        <v>3</v>
      </c>
      <c r="U128">
        <v>0</v>
      </c>
      <c r="V128">
        <v>2860</v>
      </c>
      <c r="W128">
        <v>8</v>
      </c>
      <c r="X128">
        <v>0</v>
      </c>
      <c r="Y128">
        <v>0</v>
      </c>
      <c r="AA128">
        <f t="shared" si="14"/>
        <v>0</v>
      </c>
      <c r="AB128" t="str">
        <f t="shared" si="15"/>
        <v>0</v>
      </c>
      <c r="AC128">
        <f t="shared" si="16"/>
        <v>0</v>
      </c>
      <c r="AD128">
        <f t="shared" si="17"/>
        <v>0</v>
      </c>
      <c r="AE128">
        <f t="shared" si="18"/>
        <v>0</v>
      </c>
      <c r="AF128">
        <f t="shared" si="19"/>
        <v>0</v>
      </c>
    </row>
    <row r="129" spans="1:32" x14ac:dyDescent="0.3">
      <c r="A129">
        <v>35</v>
      </c>
      <c r="B129">
        <v>70</v>
      </c>
      <c r="C129">
        <v>164</v>
      </c>
      <c r="D129">
        <f t="shared" si="10"/>
        <v>26.026174895895306</v>
      </c>
      <c r="E129">
        <f t="shared" si="11"/>
        <v>3</v>
      </c>
      <c r="F129">
        <v>89</v>
      </c>
      <c r="G129">
        <f t="shared" si="12"/>
        <v>19</v>
      </c>
      <c r="H129">
        <v>1</v>
      </c>
      <c r="I129" t="s">
        <v>32</v>
      </c>
      <c r="J129">
        <v>0</v>
      </c>
      <c r="K129">
        <v>0</v>
      </c>
      <c r="L129">
        <v>0</v>
      </c>
      <c r="M129">
        <v>37</v>
      </c>
      <c r="N129">
        <v>1</v>
      </c>
      <c r="O129">
        <f t="shared" si="13"/>
        <v>37.142857142857146</v>
      </c>
      <c r="P129">
        <v>0</v>
      </c>
      <c r="Q129">
        <v>1</v>
      </c>
      <c r="R129">
        <v>3</v>
      </c>
      <c r="S129" t="s">
        <v>55</v>
      </c>
      <c r="T129">
        <v>0</v>
      </c>
      <c r="U129">
        <v>0</v>
      </c>
      <c r="V129">
        <v>2890</v>
      </c>
      <c r="W129">
        <v>8</v>
      </c>
      <c r="X129">
        <v>1</v>
      </c>
      <c r="Y129">
        <v>0</v>
      </c>
      <c r="AA129">
        <f t="shared" si="14"/>
        <v>1</v>
      </c>
      <c r="AB129" t="str">
        <f t="shared" si="15"/>
        <v>0</v>
      </c>
      <c r="AC129">
        <f t="shared" si="16"/>
        <v>0</v>
      </c>
      <c r="AD129">
        <f t="shared" si="17"/>
        <v>0</v>
      </c>
      <c r="AE129">
        <f t="shared" si="18"/>
        <v>1</v>
      </c>
      <c r="AF129">
        <f t="shared" si="19"/>
        <v>0</v>
      </c>
    </row>
    <row r="130" spans="1:32" x14ac:dyDescent="0.3">
      <c r="A130">
        <v>25</v>
      </c>
      <c r="B130">
        <v>58.5</v>
      </c>
      <c r="C130">
        <v>158</v>
      </c>
      <c r="D130">
        <f t="shared" si="10"/>
        <v>23.433744592212783</v>
      </c>
      <c r="E130">
        <f t="shared" si="11"/>
        <v>2</v>
      </c>
      <c r="F130">
        <v>59</v>
      </c>
      <c r="G130">
        <f t="shared" si="12"/>
        <v>0.5</v>
      </c>
      <c r="H130">
        <v>0</v>
      </c>
      <c r="J130">
        <v>0</v>
      </c>
      <c r="K130">
        <v>0</v>
      </c>
      <c r="L130">
        <v>1</v>
      </c>
      <c r="M130">
        <v>40</v>
      </c>
      <c r="N130">
        <v>1</v>
      </c>
      <c r="O130">
        <f t="shared" si="13"/>
        <v>40.142857142857146</v>
      </c>
      <c r="P130">
        <v>0</v>
      </c>
      <c r="Q130">
        <v>0</v>
      </c>
      <c r="R130">
        <v>0</v>
      </c>
      <c r="T130">
        <v>1</v>
      </c>
      <c r="U130">
        <v>0</v>
      </c>
      <c r="V130">
        <v>3270</v>
      </c>
      <c r="W130">
        <v>8</v>
      </c>
      <c r="X130">
        <v>0</v>
      </c>
      <c r="Y130">
        <v>0</v>
      </c>
      <c r="AA130">
        <f t="shared" si="14"/>
        <v>0</v>
      </c>
      <c r="AB130" t="str">
        <f t="shared" si="15"/>
        <v>0</v>
      </c>
      <c r="AC130">
        <f t="shared" si="16"/>
        <v>0</v>
      </c>
      <c r="AD130">
        <f t="shared" si="17"/>
        <v>0</v>
      </c>
      <c r="AE130">
        <f t="shared" si="18"/>
        <v>0</v>
      </c>
      <c r="AF130">
        <f t="shared" si="19"/>
        <v>0</v>
      </c>
    </row>
    <row r="131" spans="1:32" x14ac:dyDescent="0.3">
      <c r="A131">
        <v>25</v>
      </c>
      <c r="B131">
        <v>49</v>
      </c>
      <c r="C131">
        <v>156</v>
      </c>
      <c r="D131">
        <f t="shared" si="10"/>
        <v>20.134779750164363</v>
      </c>
      <c r="E131">
        <f t="shared" si="11"/>
        <v>1</v>
      </c>
      <c r="F131">
        <v>60</v>
      </c>
      <c r="G131">
        <f t="shared" si="12"/>
        <v>11</v>
      </c>
      <c r="H131">
        <v>0</v>
      </c>
      <c r="J131">
        <v>0</v>
      </c>
      <c r="K131">
        <v>0</v>
      </c>
      <c r="L131">
        <v>1</v>
      </c>
      <c r="M131">
        <v>37</v>
      </c>
      <c r="N131">
        <v>0</v>
      </c>
      <c r="O131">
        <f t="shared" si="13"/>
        <v>37</v>
      </c>
      <c r="P131">
        <v>0</v>
      </c>
      <c r="Q131">
        <v>0</v>
      </c>
      <c r="R131">
        <v>3</v>
      </c>
      <c r="S131" t="s">
        <v>36</v>
      </c>
      <c r="T131">
        <v>0</v>
      </c>
      <c r="U131">
        <v>0</v>
      </c>
      <c r="V131">
        <v>3080</v>
      </c>
      <c r="W131">
        <v>8</v>
      </c>
      <c r="X131">
        <v>1</v>
      </c>
      <c r="Y131">
        <v>0</v>
      </c>
      <c r="AA131">
        <f t="shared" si="14"/>
        <v>0</v>
      </c>
      <c r="AB131" t="str">
        <f t="shared" si="15"/>
        <v>0</v>
      </c>
      <c r="AC131">
        <f t="shared" si="16"/>
        <v>0</v>
      </c>
      <c r="AD131">
        <f t="shared" si="17"/>
        <v>0</v>
      </c>
      <c r="AE131">
        <f t="shared" si="18"/>
        <v>1</v>
      </c>
      <c r="AF131">
        <f t="shared" si="19"/>
        <v>0</v>
      </c>
    </row>
    <row r="132" spans="1:32" x14ac:dyDescent="0.3">
      <c r="A132">
        <v>39</v>
      </c>
      <c r="B132">
        <v>50</v>
      </c>
      <c r="C132">
        <v>165</v>
      </c>
      <c r="D132">
        <f t="shared" ref="D132:D195" si="20">B132/((C132/100)^2)</f>
        <v>18.365472910927458</v>
      </c>
      <c r="E132">
        <f t="shared" ref="E132:E195" si="21">IF(D132&lt;18.5,0,IF(D132&lt;23,1,IF(D132&lt;25,2,3)))</f>
        <v>0</v>
      </c>
      <c r="F132">
        <v>66</v>
      </c>
      <c r="G132">
        <f t="shared" ref="G132:G195" si="22">F132-B132</f>
        <v>16</v>
      </c>
      <c r="H132">
        <v>0</v>
      </c>
      <c r="J132">
        <v>0</v>
      </c>
      <c r="K132">
        <v>1</v>
      </c>
      <c r="L132">
        <v>1</v>
      </c>
      <c r="M132">
        <v>37</v>
      </c>
      <c r="N132">
        <v>6</v>
      </c>
      <c r="O132">
        <f t="shared" ref="O132:O195" si="23">M132+(N132/7)</f>
        <v>37.857142857142854</v>
      </c>
      <c r="P132">
        <v>0</v>
      </c>
      <c r="Q132">
        <v>0</v>
      </c>
      <c r="R132">
        <v>3</v>
      </c>
      <c r="S132" t="s">
        <v>34</v>
      </c>
      <c r="T132">
        <v>0</v>
      </c>
      <c r="U132">
        <v>0</v>
      </c>
      <c r="V132">
        <v>2630</v>
      </c>
      <c r="W132">
        <v>8</v>
      </c>
      <c r="X132">
        <v>1</v>
      </c>
      <c r="Y132">
        <v>0</v>
      </c>
      <c r="AA132">
        <f t="shared" ref="AA132:AA195" si="24">IF(OR(AND(E132=0,G132&gt;18.2),AND(E132=1,G132&gt;15.9),AND(E132=2,G132&gt;11.3),AND(E132=3,G132&gt;9.1)),1,0)</f>
        <v>0</v>
      </c>
      <c r="AB132" t="str">
        <f t="shared" ref="AB132:AB195" si="25">IF(OR(AND(O132&lt;38,V132&gt;3324),AND(O132&lt;39,V132&gt;3540),AND(O132&lt;40,V132&gt;3726),AND(O132&lt;42,V132&gt;3871)),"2",IF(OR(AND(O132&gt;36.9,V132&lt;2323),AND(O132&gt;37.9,V132&lt;2496),AND(O132&gt;38.9,V132&lt;2658),AND(O132&gt;39.9,V132&lt;2805)),"1","0"))</f>
        <v>0</v>
      </c>
      <c r="AC132">
        <f t="shared" ref="AC132:AC195" si="26">IF(V132&lt;4000,0,1)</f>
        <v>0</v>
      </c>
      <c r="AD132">
        <f t="shared" ref="AD132:AD195" si="27">IF(W132&gt;7,0,1)</f>
        <v>0</v>
      </c>
      <c r="AE132">
        <f t="shared" ref="AE132:AE195" si="28">IF(R132=3,1,0)</f>
        <v>1</v>
      </c>
      <c r="AF132">
        <f t="shared" ref="AF132:AF195" si="29">IF(X132=2,1,0)</f>
        <v>0</v>
      </c>
    </row>
    <row r="133" spans="1:32" x14ac:dyDescent="0.3">
      <c r="A133">
        <v>23</v>
      </c>
      <c r="B133">
        <v>50</v>
      </c>
      <c r="C133">
        <v>168</v>
      </c>
      <c r="D133">
        <f t="shared" si="20"/>
        <v>17.715419501133791</v>
      </c>
      <c r="E133">
        <f t="shared" si="21"/>
        <v>0</v>
      </c>
      <c r="F133">
        <v>64</v>
      </c>
      <c r="G133">
        <f t="shared" si="22"/>
        <v>14</v>
      </c>
      <c r="H133">
        <v>0</v>
      </c>
      <c r="J133">
        <v>0</v>
      </c>
      <c r="K133">
        <v>0</v>
      </c>
      <c r="L133">
        <v>1</v>
      </c>
      <c r="M133">
        <v>37</v>
      </c>
      <c r="N133">
        <v>6</v>
      </c>
      <c r="O133">
        <f t="shared" si="23"/>
        <v>37.857142857142854</v>
      </c>
      <c r="P133">
        <v>0</v>
      </c>
      <c r="Q133">
        <v>0</v>
      </c>
      <c r="R133">
        <v>0</v>
      </c>
      <c r="T133">
        <v>0</v>
      </c>
      <c r="U133">
        <v>0</v>
      </c>
      <c r="V133">
        <v>3940</v>
      </c>
      <c r="W133">
        <v>9</v>
      </c>
      <c r="X133">
        <v>0</v>
      </c>
      <c r="Y133">
        <v>0</v>
      </c>
      <c r="AA133">
        <f t="shared" si="24"/>
        <v>0</v>
      </c>
      <c r="AB133" t="str">
        <f t="shared" si="25"/>
        <v>2</v>
      </c>
      <c r="AC133">
        <f t="shared" si="26"/>
        <v>0</v>
      </c>
      <c r="AD133">
        <f t="shared" si="27"/>
        <v>0</v>
      </c>
      <c r="AE133">
        <f t="shared" si="28"/>
        <v>0</v>
      </c>
      <c r="AF133">
        <f t="shared" si="29"/>
        <v>0</v>
      </c>
    </row>
    <row r="134" spans="1:32" x14ac:dyDescent="0.3">
      <c r="A134">
        <v>24</v>
      </c>
      <c r="B134">
        <v>44.5</v>
      </c>
      <c r="C134">
        <v>158</v>
      </c>
      <c r="D134">
        <f t="shared" si="20"/>
        <v>17.825668963307159</v>
      </c>
      <c r="E134">
        <f t="shared" si="21"/>
        <v>0</v>
      </c>
      <c r="F134">
        <v>58</v>
      </c>
      <c r="G134">
        <f t="shared" si="22"/>
        <v>13.5</v>
      </c>
      <c r="H134">
        <v>0</v>
      </c>
      <c r="J134">
        <v>0</v>
      </c>
      <c r="K134">
        <v>0</v>
      </c>
      <c r="L134">
        <v>0</v>
      </c>
      <c r="M134">
        <v>38</v>
      </c>
      <c r="N134">
        <v>5</v>
      </c>
      <c r="O134">
        <f t="shared" si="23"/>
        <v>38.714285714285715</v>
      </c>
      <c r="P134">
        <v>0</v>
      </c>
      <c r="Q134">
        <v>0</v>
      </c>
      <c r="R134">
        <v>0</v>
      </c>
      <c r="T134">
        <v>0</v>
      </c>
      <c r="U134">
        <v>0</v>
      </c>
      <c r="V134">
        <v>2790</v>
      </c>
      <c r="W134">
        <v>8</v>
      </c>
      <c r="X134">
        <v>1</v>
      </c>
      <c r="Y134">
        <v>0</v>
      </c>
      <c r="AA134">
        <f t="shared" si="24"/>
        <v>0</v>
      </c>
      <c r="AB134" t="str">
        <f t="shared" si="25"/>
        <v>0</v>
      </c>
      <c r="AC134">
        <f t="shared" si="26"/>
        <v>0</v>
      </c>
      <c r="AD134">
        <f t="shared" si="27"/>
        <v>0</v>
      </c>
      <c r="AE134">
        <f t="shared" si="28"/>
        <v>0</v>
      </c>
      <c r="AF134">
        <f t="shared" si="29"/>
        <v>0</v>
      </c>
    </row>
    <row r="135" spans="1:32" x14ac:dyDescent="0.3">
      <c r="A135">
        <v>32</v>
      </c>
      <c r="B135">
        <v>45</v>
      </c>
      <c r="C135">
        <v>153</v>
      </c>
      <c r="D135">
        <f t="shared" si="20"/>
        <v>19.223375624759708</v>
      </c>
      <c r="E135">
        <f t="shared" si="21"/>
        <v>1</v>
      </c>
      <c r="F135">
        <v>49</v>
      </c>
      <c r="G135">
        <f t="shared" si="22"/>
        <v>4</v>
      </c>
      <c r="H135">
        <v>0</v>
      </c>
      <c r="J135">
        <v>0</v>
      </c>
      <c r="K135">
        <v>0</v>
      </c>
      <c r="L135">
        <v>1</v>
      </c>
      <c r="M135">
        <v>39</v>
      </c>
      <c r="N135">
        <v>0</v>
      </c>
      <c r="O135">
        <f t="shared" si="23"/>
        <v>39</v>
      </c>
      <c r="P135">
        <v>1</v>
      </c>
      <c r="Q135">
        <v>0</v>
      </c>
      <c r="R135">
        <v>0</v>
      </c>
      <c r="T135">
        <v>0</v>
      </c>
      <c r="U135">
        <v>0</v>
      </c>
      <c r="V135">
        <v>2550</v>
      </c>
      <c r="W135">
        <v>9</v>
      </c>
      <c r="X135">
        <v>1</v>
      </c>
      <c r="Y135">
        <v>0</v>
      </c>
      <c r="AA135">
        <f t="shared" si="24"/>
        <v>0</v>
      </c>
      <c r="AB135" t="str">
        <f t="shared" si="25"/>
        <v>1</v>
      </c>
      <c r="AC135">
        <f t="shared" si="26"/>
        <v>0</v>
      </c>
      <c r="AD135">
        <f t="shared" si="27"/>
        <v>0</v>
      </c>
      <c r="AE135">
        <f t="shared" si="28"/>
        <v>0</v>
      </c>
      <c r="AF135">
        <f t="shared" si="29"/>
        <v>0</v>
      </c>
    </row>
    <row r="136" spans="1:32" x14ac:dyDescent="0.3">
      <c r="A136">
        <v>30</v>
      </c>
      <c r="B136">
        <v>48</v>
      </c>
      <c r="C136">
        <v>150</v>
      </c>
      <c r="D136">
        <f t="shared" si="20"/>
        <v>21.333333333333332</v>
      </c>
      <c r="E136">
        <f t="shared" si="21"/>
        <v>1</v>
      </c>
      <c r="F136">
        <v>70</v>
      </c>
      <c r="G136">
        <f t="shared" si="22"/>
        <v>22</v>
      </c>
      <c r="H136">
        <v>0</v>
      </c>
      <c r="J136">
        <v>0</v>
      </c>
      <c r="K136">
        <v>0</v>
      </c>
      <c r="L136">
        <v>0</v>
      </c>
      <c r="M136">
        <v>40</v>
      </c>
      <c r="N136">
        <v>4</v>
      </c>
      <c r="O136">
        <f t="shared" si="23"/>
        <v>40.571428571428569</v>
      </c>
      <c r="P136">
        <v>0</v>
      </c>
      <c r="Q136">
        <v>0</v>
      </c>
      <c r="R136">
        <v>3</v>
      </c>
      <c r="S136" t="s">
        <v>35</v>
      </c>
      <c r="T136">
        <v>0</v>
      </c>
      <c r="U136">
        <v>0</v>
      </c>
      <c r="V136">
        <v>3300</v>
      </c>
      <c r="W136">
        <v>8</v>
      </c>
      <c r="X136">
        <v>1</v>
      </c>
      <c r="Y136">
        <v>0</v>
      </c>
      <c r="AA136">
        <f t="shared" si="24"/>
        <v>1</v>
      </c>
      <c r="AB136" t="str">
        <f t="shared" si="25"/>
        <v>0</v>
      </c>
      <c r="AC136">
        <f t="shared" si="26"/>
        <v>0</v>
      </c>
      <c r="AD136">
        <f t="shared" si="27"/>
        <v>0</v>
      </c>
      <c r="AE136">
        <f t="shared" si="28"/>
        <v>1</v>
      </c>
      <c r="AF136">
        <f t="shared" si="29"/>
        <v>0</v>
      </c>
    </row>
    <row r="137" spans="1:32" x14ac:dyDescent="0.3">
      <c r="A137">
        <v>26</v>
      </c>
      <c r="B137">
        <v>52</v>
      </c>
      <c r="C137">
        <v>161</v>
      </c>
      <c r="D137">
        <f t="shared" si="20"/>
        <v>20.060954438486167</v>
      </c>
      <c r="E137">
        <f t="shared" si="21"/>
        <v>1</v>
      </c>
      <c r="F137">
        <v>69</v>
      </c>
      <c r="G137">
        <f t="shared" si="22"/>
        <v>17</v>
      </c>
      <c r="H137">
        <v>1</v>
      </c>
      <c r="I137" t="s">
        <v>56</v>
      </c>
      <c r="J137">
        <v>0</v>
      </c>
      <c r="K137">
        <v>1</v>
      </c>
      <c r="L137">
        <v>3</v>
      </c>
      <c r="M137">
        <v>37</v>
      </c>
      <c r="N137">
        <v>0</v>
      </c>
      <c r="O137">
        <f t="shared" si="23"/>
        <v>37</v>
      </c>
      <c r="P137">
        <v>0</v>
      </c>
      <c r="Q137">
        <v>0</v>
      </c>
      <c r="R137">
        <v>3</v>
      </c>
      <c r="S137" t="s">
        <v>34</v>
      </c>
      <c r="T137">
        <v>0</v>
      </c>
      <c r="U137">
        <v>0</v>
      </c>
      <c r="V137">
        <v>3480</v>
      </c>
      <c r="W137">
        <v>8</v>
      </c>
      <c r="X137">
        <v>1</v>
      </c>
      <c r="Y137">
        <v>0</v>
      </c>
      <c r="AA137">
        <f t="shared" si="24"/>
        <v>1</v>
      </c>
      <c r="AB137" t="str">
        <f t="shared" si="25"/>
        <v>2</v>
      </c>
      <c r="AC137">
        <f t="shared" si="26"/>
        <v>0</v>
      </c>
      <c r="AD137">
        <f t="shared" si="27"/>
        <v>0</v>
      </c>
      <c r="AE137">
        <f t="shared" si="28"/>
        <v>1</v>
      </c>
      <c r="AF137">
        <f t="shared" si="29"/>
        <v>0</v>
      </c>
    </row>
    <row r="138" spans="1:32" x14ac:dyDescent="0.3">
      <c r="A138">
        <v>23</v>
      </c>
      <c r="B138">
        <v>38</v>
      </c>
      <c r="C138">
        <v>153</v>
      </c>
      <c r="D138">
        <f t="shared" si="20"/>
        <v>16.233072749797088</v>
      </c>
      <c r="E138">
        <f t="shared" si="21"/>
        <v>0</v>
      </c>
      <c r="F138">
        <v>66</v>
      </c>
      <c r="G138">
        <f t="shared" si="22"/>
        <v>28</v>
      </c>
      <c r="H138">
        <v>0</v>
      </c>
      <c r="J138">
        <v>0</v>
      </c>
      <c r="K138">
        <v>0</v>
      </c>
      <c r="L138">
        <v>0</v>
      </c>
      <c r="M138">
        <v>39</v>
      </c>
      <c r="N138">
        <v>2</v>
      </c>
      <c r="O138">
        <f t="shared" si="23"/>
        <v>39.285714285714285</v>
      </c>
      <c r="P138">
        <v>0</v>
      </c>
      <c r="Q138">
        <v>0</v>
      </c>
      <c r="R138">
        <v>0</v>
      </c>
      <c r="T138">
        <v>0</v>
      </c>
      <c r="U138">
        <v>0</v>
      </c>
      <c r="V138">
        <v>3100</v>
      </c>
      <c r="W138">
        <v>8</v>
      </c>
      <c r="X138">
        <v>1</v>
      </c>
      <c r="Y138">
        <v>1</v>
      </c>
      <c r="Z138" t="s">
        <v>38</v>
      </c>
      <c r="AA138">
        <f t="shared" si="24"/>
        <v>1</v>
      </c>
      <c r="AB138" t="str">
        <f t="shared" si="25"/>
        <v>0</v>
      </c>
      <c r="AC138">
        <f t="shared" si="26"/>
        <v>0</v>
      </c>
      <c r="AD138">
        <f t="shared" si="27"/>
        <v>0</v>
      </c>
      <c r="AE138">
        <f t="shared" si="28"/>
        <v>0</v>
      </c>
      <c r="AF138">
        <f t="shared" si="29"/>
        <v>0</v>
      </c>
    </row>
    <row r="139" spans="1:32" x14ac:dyDescent="0.3">
      <c r="A139">
        <v>37</v>
      </c>
      <c r="B139">
        <v>72</v>
      </c>
      <c r="C139">
        <v>155</v>
      </c>
      <c r="D139">
        <f t="shared" si="20"/>
        <v>29.968782518210194</v>
      </c>
      <c r="E139">
        <f t="shared" si="21"/>
        <v>3</v>
      </c>
      <c r="F139">
        <v>88</v>
      </c>
      <c r="G139">
        <f t="shared" si="22"/>
        <v>16</v>
      </c>
      <c r="H139">
        <v>1</v>
      </c>
      <c r="I139" t="s">
        <v>32</v>
      </c>
      <c r="J139">
        <v>0</v>
      </c>
      <c r="K139">
        <v>1</v>
      </c>
      <c r="L139">
        <v>2</v>
      </c>
      <c r="M139">
        <v>39</v>
      </c>
      <c r="N139">
        <v>0</v>
      </c>
      <c r="O139">
        <f t="shared" si="23"/>
        <v>39</v>
      </c>
      <c r="P139">
        <v>0</v>
      </c>
      <c r="Q139">
        <v>0</v>
      </c>
      <c r="R139">
        <v>3</v>
      </c>
      <c r="S139" t="s">
        <v>34</v>
      </c>
      <c r="T139">
        <v>0</v>
      </c>
      <c r="U139">
        <v>0</v>
      </c>
      <c r="V139">
        <v>3030</v>
      </c>
      <c r="W139">
        <v>8</v>
      </c>
      <c r="X139">
        <v>1</v>
      </c>
      <c r="Y139">
        <v>0</v>
      </c>
      <c r="AA139">
        <f t="shared" si="24"/>
        <v>1</v>
      </c>
      <c r="AB139" t="str">
        <f t="shared" si="25"/>
        <v>0</v>
      </c>
      <c r="AC139">
        <f t="shared" si="26"/>
        <v>0</v>
      </c>
      <c r="AD139">
        <f t="shared" si="27"/>
        <v>0</v>
      </c>
      <c r="AE139">
        <f t="shared" si="28"/>
        <v>1</v>
      </c>
      <c r="AF139">
        <f t="shared" si="29"/>
        <v>0</v>
      </c>
    </row>
    <row r="140" spans="1:32" x14ac:dyDescent="0.3">
      <c r="A140">
        <v>40</v>
      </c>
      <c r="B140">
        <v>75</v>
      </c>
      <c r="C140">
        <v>160</v>
      </c>
      <c r="D140">
        <f t="shared" si="20"/>
        <v>29.296874999999993</v>
      </c>
      <c r="E140">
        <f t="shared" si="21"/>
        <v>3</v>
      </c>
      <c r="F140">
        <v>87</v>
      </c>
      <c r="G140">
        <f t="shared" si="22"/>
        <v>12</v>
      </c>
      <c r="H140">
        <v>1</v>
      </c>
      <c r="I140" t="s">
        <v>57</v>
      </c>
      <c r="J140">
        <v>0</v>
      </c>
      <c r="K140">
        <v>0</v>
      </c>
      <c r="L140">
        <v>2</v>
      </c>
      <c r="M140">
        <v>39</v>
      </c>
      <c r="N140">
        <v>3</v>
      </c>
      <c r="O140">
        <f t="shared" si="23"/>
        <v>39.428571428571431</v>
      </c>
      <c r="P140">
        <v>0</v>
      </c>
      <c r="Q140">
        <v>0</v>
      </c>
      <c r="R140">
        <v>0</v>
      </c>
      <c r="T140">
        <v>0</v>
      </c>
      <c r="U140">
        <v>0</v>
      </c>
      <c r="V140">
        <v>3140</v>
      </c>
      <c r="W140">
        <v>8</v>
      </c>
      <c r="X140">
        <v>2</v>
      </c>
      <c r="Y140">
        <v>0</v>
      </c>
      <c r="AA140">
        <f t="shared" si="24"/>
        <v>1</v>
      </c>
      <c r="AB140" t="str">
        <f t="shared" si="25"/>
        <v>0</v>
      </c>
      <c r="AC140">
        <f t="shared" si="26"/>
        <v>0</v>
      </c>
      <c r="AD140">
        <f t="shared" si="27"/>
        <v>0</v>
      </c>
      <c r="AE140">
        <f t="shared" si="28"/>
        <v>0</v>
      </c>
      <c r="AF140">
        <f t="shared" si="29"/>
        <v>1</v>
      </c>
    </row>
    <row r="141" spans="1:32" x14ac:dyDescent="0.3">
      <c r="A141">
        <v>15</v>
      </c>
      <c r="B141">
        <v>48</v>
      </c>
      <c r="C141">
        <v>161</v>
      </c>
      <c r="D141">
        <f t="shared" si="20"/>
        <v>18.517804097064154</v>
      </c>
      <c r="E141">
        <f t="shared" si="21"/>
        <v>1</v>
      </c>
      <c r="F141">
        <v>62</v>
      </c>
      <c r="G141">
        <f t="shared" si="22"/>
        <v>14</v>
      </c>
      <c r="H141">
        <v>0</v>
      </c>
      <c r="J141">
        <v>0</v>
      </c>
      <c r="K141">
        <v>0</v>
      </c>
      <c r="L141">
        <v>0</v>
      </c>
      <c r="M141">
        <v>39</v>
      </c>
      <c r="N141">
        <v>0</v>
      </c>
      <c r="O141">
        <f t="shared" si="23"/>
        <v>39</v>
      </c>
      <c r="P141">
        <v>0</v>
      </c>
      <c r="Q141">
        <v>0</v>
      </c>
      <c r="R141">
        <v>0</v>
      </c>
      <c r="T141">
        <v>0</v>
      </c>
      <c r="U141">
        <v>0</v>
      </c>
      <c r="V141">
        <v>2920</v>
      </c>
      <c r="W141">
        <v>8</v>
      </c>
      <c r="X141">
        <v>0</v>
      </c>
      <c r="Y141">
        <v>0</v>
      </c>
      <c r="AA141">
        <f t="shared" si="24"/>
        <v>0</v>
      </c>
      <c r="AB141" t="str">
        <f t="shared" si="25"/>
        <v>0</v>
      </c>
      <c r="AC141">
        <f t="shared" si="26"/>
        <v>0</v>
      </c>
      <c r="AD141">
        <f t="shared" si="27"/>
        <v>0</v>
      </c>
      <c r="AE141">
        <f t="shared" si="28"/>
        <v>0</v>
      </c>
      <c r="AF141">
        <f t="shared" si="29"/>
        <v>0</v>
      </c>
    </row>
    <row r="142" spans="1:32" x14ac:dyDescent="0.3">
      <c r="A142">
        <v>24</v>
      </c>
      <c r="B142">
        <v>53</v>
      </c>
      <c r="C142">
        <v>155</v>
      </c>
      <c r="D142">
        <f t="shared" si="20"/>
        <v>22.060353798126947</v>
      </c>
      <c r="E142">
        <f t="shared" si="21"/>
        <v>1</v>
      </c>
      <c r="F142">
        <v>75</v>
      </c>
      <c r="G142">
        <f t="shared" si="22"/>
        <v>22</v>
      </c>
      <c r="H142">
        <v>0</v>
      </c>
      <c r="J142">
        <v>0</v>
      </c>
      <c r="K142">
        <v>0</v>
      </c>
      <c r="L142">
        <v>0</v>
      </c>
      <c r="M142">
        <v>40</v>
      </c>
      <c r="N142">
        <v>1</v>
      </c>
      <c r="O142">
        <f t="shared" si="23"/>
        <v>40.142857142857146</v>
      </c>
      <c r="P142">
        <v>0</v>
      </c>
      <c r="Q142">
        <v>0</v>
      </c>
      <c r="R142">
        <v>3</v>
      </c>
      <c r="S142" t="s">
        <v>49</v>
      </c>
      <c r="T142">
        <v>0</v>
      </c>
      <c r="U142">
        <v>0</v>
      </c>
      <c r="V142">
        <v>3830</v>
      </c>
      <c r="W142">
        <v>8</v>
      </c>
      <c r="X142">
        <v>1</v>
      </c>
      <c r="Y142">
        <v>0</v>
      </c>
      <c r="AA142">
        <f t="shared" si="24"/>
        <v>1</v>
      </c>
      <c r="AB142" t="str">
        <f t="shared" si="25"/>
        <v>0</v>
      </c>
      <c r="AC142">
        <f t="shared" si="26"/>
        <v>0</v>
      </c>
      <c r="AD142">
        <f t="shared" si="27"/>
        <v>0</v>
      </c>
      <c r="AE142">
        <f t="shared" si="28"/>
        <v>1</v>
      </c>
      <c r="AF142">
        <f t="shared" si="29"/>
        <v>0</v>
      </c>
    </row>
    <row r="143" spans="1:32" x14ac:dyDescent="0.3">
      <c r="A143">
        <v>28</v>
      </c>
      <c r="B143">
        <v>53</v>
      </c>
      <c r="C143">
        <v>160</v>
      </c>
      <c r="D143">
        <f t="shared" si="20"/>
        <v>20.703124999999996</v>
      </c>
      <c r="E143">
        <f t="shared" si="21"/>
        <v>1</v>
      </c>
      <c r="F143">
        <v>65</v>
      </c>
      <c r="G143">
        <f t="shared" si="22"/>
        <v>12</v>
      </c>
      <c r="H143">
        <v>0</v>
      </c>
      <c r="J143">
        <v>0</v>
      </c>
      <c r="K143">
        <v>0</v>
      </c>
      <c r="L143">
        <v>0</v>
      </c>
      <c r="M143">
        <v>39</v>
      </c>
      <c r="N143">
        <v>3</v>
      </c>
      <c r="O143">
        <f t="shared" si="23"/>
        <v>39.428571428571431</v>
      </c>
      <c r="P143">
        <v>0</v>
      </c>
      <c r="Q143">
        <v>0</v>
      </c>
      <c r="R143">
        <v>0</v>
      </c>
      <c r="T143">
        <v>0</v>
      </c>
      <c r="U143">
        <v>0</v>
      </c>
      <c r="V143">
        <v>3140</v>
      </c>
      <c r="W143">
        <v>9</v>
      </c>
      <c r="X143">
        <v>0</v>
      </c>
      <c r="Y143">
        <v>0</v>
      </c>
      <c r="AA143">
        <f t="shared" si="24"/>
        <v>0</v>
      </c>
      <c r="AB143" t="str">
        <f t="shared" si="25"/>
        <v>0</v>
      </c>
      <c r="AC143">
        <f t="shared" si="26"/>
        <v>0</v>
      </c>
      <c r="AD143">
        <f t="shared" si="27"/>
        <v>0</v>
      </c>
      <c r="AE143">
        <f t="shared" si="28"/>
        <v>0</v>
      </c>
      <c r="AF143">
        <f t="shared" si="29"/>
        <v>0</v>
      </c>
    </row>
    <row r="144" spans="1:32" x14ac:dyDescent="0.3">
      <c r="A144">
        <v>28</v>
      </c>
      <c r="B144">
        <v>55</v>
      </c>
      <c r="C144">
        <v>165</v>
      </c>
      <c r="D144">
        <f t="shared" si="20"/>
        <v>20.202020202020204</v>
      </c>
      <c r="E144">
        <f t="shared" si="21"/>
        <v>1</v>
      </c>
      <c r="F144">
        <v>75</v>
      </c>
      <c r="G144">
        <f t="shared" si="22"/>
        <v>20</v>
      </c>
      <c r="H144">
        <v>0</v>
      </c>
      <c r="J144">
        <v>0</v>
      </c>
      <c r="K144">
        <v>0</v>
      </c>
      <c r="L144">
        <v>1</v>
      </c>
      <c r="M144">
        <v>38</v>
      </c>
      <c r="N144">
        <v>2</v>
      </c>
      <c r="O144">
        <f t="shared" si="23"/>
        <v>38.285714285714285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3240</v>
      </c>
      <c r="W144">
        <v>9</v>
      </c>
      <c r="X144">
        <v>1</v>
      </c>
      <c r="Y144">
        <v>0</v>
      </c>
      <c r="AA144">
        <f t="shared" si="24"/>
        <v>1</v>
      </c>
      <c r="AB144" t="str">
        <f t="shared" si="25"/>
        <v>0</v>
      </c>
      <c r="AC144">
        <f t="shared" si="26"/>
        <v>0</v>
      </c>
      <c r="AD144">
        <f t="shared" si="27"/>
        <v>0</v>
      </c>
      <c r="AE144">
        <f t="shared" si="28"/>
        <v>0</v>
      </c>
      <c r="AF144">
        <f t="shared" si="29"/>
        <v>0</v>
      </c>
    </row>
    <row r="145" spans="1:32" x14ac:dyDescent="0.3">
      <c r="A145">
        <v>30</v>
      </c>
      <c r="B145">
        <v>57</v>
      </c>
      <c r="C145">
        <v>168</v>
      </c>
      <c r="D145">
        <f t="shared" si="20"/>
        <v>20.195578231292519</v>
      </c>
      <c r="E145">
        <f t="shared" si="21"/>
        <v>1</v>
      </c>
      <c r="F145">
        <v>76</v>
      </c>
      <c r="G145">
        <f t="shared" si="22"/>
        <v>19</v>
      </c>
      <c r="H145">
        <v>0</v>
      </c>
      <c r="J145">
        <v>0</v>
      </c>
      <c r="K145">
        <v>0</v>
      </c>
      <c r="L145">
        <v>1</v>
      </c>
      <c r="M145">
        <v>38</v>
      </c>
      <c r="N145">
        <v>1</v>
      </c>
      <c r="O145">
        <f t="shared" si="23"/>
        <v>38.142857142857146</v>
      </c>
      <c r="P145">
        <v>0</v>
      </c>
      <c r="Q145">
        <v>0</v>
      </c>
      <c r="R145">
        <v>0</v>
      </c>
      <c r="T145">
        <v>0</v>
      </c>
      <c r="U145">
        <v>0</v>
      </c>
      <c r="V145">
        <v>3040</v>
      </c>
      <c r="W145">
        <v>9</v>
      </c>
      <c r="X145">
        <v>0</v>
      </c>
      <c r="Y145">
        <v>0</v>
      </c>
      <c r="AA145">
        <f t="shared" si="24"/>
        <v>1</v>
      </c>
      <c r="AB145" t="str">
        <f t="shared" si="25"/>
        <v>0</v>
      </c>
      <c r="AC145">
        <f t="shared" si="26"/>
        <v>0</v>
      </c>
      <c r="AD145">
        <f t="shared" si="27"/>
        <v>0</v>
      </c>
      <c r="AE145">
        <f t="shared" si="28"/>
        <v>0</v>
      </c>
      <c r="AF145">
        <f t="shared" si="29"/>
        <v>0</v>
      </c>
    </row>
    <row r="146" spans="1:32" x14ac:dyDescent="0.3">
      <c r="A146">
        <v>23</v>
      </c>
      <c r="B146">
        <v>45</v>
      </c>
      <c r="C146">
        <v>153</v>
      </c>
      <c r="D146">
        <f t="shared" si="20"/>
        <v>19.223375624759708</v>
      </c>
      <c r="E146">
        <f t="shared" si="21"/>
        <v>1</v>
      </c>
      <c r="F146">
        <v>56</v>
      </c>
      <c r="G146">
        <f t="shared" si="22"/>
        <v>11</v>
      </c>
      <c r="H146">
        <v>1</v>
      </c>
      <c r="I146" t="s">
        <v>56</v>
      </c>
      <c r="J146">
        <v>0</v>
      </c>
      <c r="K146">
        <v>1</v>
      </c>
      <c r="L146">
        <v>1</v>
      </c>
      <c r="M146">
        <v>38</v>
      </c>
      <c r="N146">
        <v>3</v>
      </c>
      <c r="O146">
        <f t="shared" si="23"/>
        <v>38.428571428571431</v>
      </c>
      <c r="P146">
        <v>0</v>
      </c>
      <c r="Q146">
        <v>0</v>
      </c>
      <c r="R146">
        <v>3</v>
      </c>
      <c r="S146" t="s">
        <v>34</v>
      </c>
      <c r="T146">
        <v>0</v>
      </c>
      <c r="U146">
        <v>0</v>
      </c>
      <c r="V146">
        <v>2720</v>
      </c>
      <c r="W146">
        <v>8</v>
      </c>
      <c r="X146">
        <v>1</v>
      </c>
      <c r="Y146">
        <v>0</v>
      </c>
      <c r="AA146">
        <f t="shared" si="24"/>
        <v>0</v>
      </c>
      <c r="AB146" t="str">
        <f t="shared" si="25"/>
        <v>0</v>
      </c>
      <c r="AC146">
        <f t="shared" si="26"/>
        <v>0</v>
      </c>
      <c r="AD146">
        <f t="shared" si="27"/>
        <v>0</v>
      </c>
      <c r="AE146">
        <f t="shared" si="28"/>
        <v>1</v>
      </c>
      <c r="AF146">
        <f t="shared" si="29"/>
        <v>0</v>
      </c>
    </row>
    <row r="147" spans="1:32" x14ac:dyDescent="0.3">
      <c r="A147">
        <v>36</v>
      </c>
      <c r="B147">
        <v>45</v>
      </c>
      <c r="C147">
        <v>162</v>
      </c>
      <c r="D147">
        <f t="shared" si="20"/>
        <v>17.146776406035663</v>
      </c>
      <c r="E147">
        <f t="shared" si="21"/>
        <v>0</v>
      </c>
      <c r="F147">
        <v>55</v>
      </c>
      <c r="G147">
        <f t="shared" si="22"/>
        <v>10</v>
      </c>
      <c r="H147">
        <v>0</v>
      </c>
      <c r="J147">
        <v>0</v>
      </c>
      <c r="K147">
        <v>0</v>
      </c>
      <c r="L147">
        <v>2</v>
      </c>
      <c r="M147">
        <v>37</v>
      </c>
      <c r="N147">
        <v>2</v>
      </c>
      <c r="O147">
        <f t="shared" si="23"/>
        <v>37.285714285714285</v>
      </c>
      <c r="P147">
        <v>0</v>
      </c>
      <c r="Q147">
        <v>0</v>
      </c>
      <c r="R147">
        <v>0</v>
      </c>
      <c r="T147">
        <v>0</v>
      </c>
      <c r="U147">
        <v>0</v>
      </c>
      <c r="V147">
        <v>2800</v>
      </c>
      <c r="W147">
        <v>8</v>
      </c>
      <c r="X147">
        <v>1</v>
      </c>
      <c r="Y147">
        <v>0</v>
      </c>
      <c r="AA147">
        <f t="shared" si="24"/>
        <v>0</v>
      </c>
      <c r="AB147" t="str">
        <f t="shared" si="25"/>
        <v>0</v>
      </c>
      <c r="AC147">
        <f t="shared" si="26"/>
        <v>0</v>
      </c>
      <c r="AD147">
        <f t="shared" si="27"/>
        <v>0</v>
      </c>
      <c r="AE147">
        <f t="shared" si="28"/>
        <v>0</v>
      </c>
      <c r="AF147">
        <f t="shared" si="29"/>
        <v>0</v>
      </c>
    </row>
    <row r="148" spans="1:32" x14ac:dyDescent="0.3">
      <c r="A148">
        <v>26</v>
      </c>
      <c r="B148">
        <v>45</v>
      </c>
      <c r="C148">
        <v>152</v>
      </c>
      <c r="D148">
        <f t="shared" si="20"/>
        <v>19.477146814404431</v>
      </c>
      <c r="E148">
        <f t="shared" si="21"/>
        <v>1</v>
      </c>
      <c r="F148">
        <v>63</v>
      </c>
      <c r="G148">
        <f t="shared" si="22"/>
        <v>18</v>
      </c>
      <c r="H148">
        <v>0</v>
      </c>
      <c r="J148">
        <v>0</v>
      </c>
      <c r="K148">
        <v>0</v>
      </c>
      <c r="L148">
        <v>0</v>
      </c>
      <c r="M148">
        <v>40</v>
      </c>
      <c r="N148">
        <v>3</v>
      </c>
      <c r="O148">
        <f t="shared" si="23"/>
        <v>40.428571428571431</v>
      </c>
      <c r="P148">
        <v>0</v>
      </c>
      <c r="Q148">
        <v>0</v>
      </c>
      <c r="R148">
        <v>3</v>
      </c>
      <c r="S148" t="s">
        <v>58</v>
      </c>
      <c r="T148">
        <v>0</v>
      </c>
      <c r="U148">
        <v>0</v>
      </c>
      <c r="V148">
        <v>3180</v>
      </c>
      <c r="W148">
        <v>9</v>
      </c>
      <c r="X148">
        <v>1</v>
      </c>
      <c r="Y148">
        <v>0</v>
      </c>
      <c r="AA148">
        <f t="shared" si="24"/>
        <v>1</v>
      </c>
      <c r="AB148" t="str">
        <f t="shared" si="25"/>
        <v>0</v>
      </c>
      <c r="AC148">
        <f t="shared" si="26"/>
        <v>0</v>
      </c>
      <c r="AD148">
        <f t="shared" si="27"/>
        <v>0</v>
      </c>
      <c r="AE148">
        <f t="shared" si="28"/>
        <v>1</v>
      </c>
      <c r="AF148">
        <f t="shared" si="29"/>
        <v>0</v>
      </c>
    </row>
    <row r="149" spans="1:32" x14ac:dyDescent="0.3">
      <c r="A149">
        <v>28</v>
      </c>
      <c r="B149">
        <v>57</v>
      </c>
      <c r="C149">
        <v>160</v>
      </c>
      <c r="D149">
        <f t="shared" si="20"/>
        <v>22.265624999999996</v>
      </c>
      <c r="E149">
        <f t="shared" si="21"/>
        <v>1</v>
      </c>
      <c r="F149">
        <v>79</v>
      </c>
      <c r="G149">
        <f t="shared" si="22"/>
        <v>22</v>
      </c>
      <c r="H149">
        <v>0</v>
      </c>
      <c r="J149">
        <v>0</v>
      </c>
      <c r="K149">
        <v>0</v>
      </c>
      <c r="L149">
        <v>0</v>
      </c>
      <c r="M149">
        <v>39</v>
      </c>
      <c r="N149">
        <v>1</v>
      </c>
      <c r="O149">
        <f t="shared" si="23"/>
        <v>39.142857142857146</v>
      </c>
      <c r="P149">
        <v>0</v>
      </c>
      <c r="Q149">
        <v>0</v>
      </c>
      <c r="R149">
        <v>0</v>
      </c>
      <c r="T149">
        <v>0</v>
      </c>
      <c r="U149">
        <v>0</v>
      </c>
      <c r="V149">
        <v>2980</v>
      </c>
      <c r="W149">
        <v>8</v>
      </c>
      <c r="X149">
        <v>1</v>
      </c>
      <c r="Y149">
        <v>0</v>
      </c>
      <c r="AA149">
        <f t="shared" si="24"/>
        <v>1</v>
      </c>
      <c r="AB149" t="str">
        <f t="shared" si="25"/>
        <v>0</v>
      </c>
      <c r="AC149">
        <f t="shared" si="26"/>
        <v>0</v>
      </c>
      <c r="AD149">
        <f t="shared" si="27"/>
        <v>0</v>
      </c>
      <c r="AE149">
        <f t="shared" si="28"/>
        <v>0</v>
      </c>
      <c r="AF149">
        <f t="shared" si="29"/>
        <v>0</v>
      </c>
    </row>
    <row r="150" spans="1:32" x14ac:dyDescent="0.3">
      <c r="A150">
        <v>28</v>
      </c>
      <c r="B150">
        <v>43</v>
      </c>
      <c r="C150">
        <v>149</v>
      </c>
      <c r="D150">
        <f t="shared" si="20"/>
        <v>19.368496914553401</v>
      </c>
      <c r="E150">
        <f t="shared" si="21"/>
        <v>1</v>
      </c>
      <c r="F150">
        <v>56</v>
      </c>
      <c r="G150">
        <f t="shared" si="22"/>
        <v>13</v>
      </c>
      <c r="H150">
        <v>0</v>
      </c>
      <c r="J150">
        <v>0</v>
      </c>
      <c r="K150">
        <v>0</v>
      </c>
      <c r="L150">
        <v>2</v>
      </c>
      <c r="M150">
        <v>38</v>
      </c>
      <c r="N150">
        <v>4</v>
      </c>
      <c r="O150">
        <f t="shared" si="23"/>
        <v>38.571428571428569</v>
      </c>
      <c r="P150">
        <v>0</v>
      </c>
      <c r="Q150">
        <v>0</v>
      </c>
      <c r="R150">
        <v>0</v>
      </c>
      <c r="T150">
        <v>0</v>
      </c>
      <c r="U150">
        <v>0</v>
      </c>
      <c r="V150">
        <v>3040</v>
      </c>
      <c r="W150">
        <v>9</v>
      </c>
      <c r="X150">
        <v>0</v>
      </c>
      <c r="Y150">
        <v>0</v>
      </c>
      <c r="AA150">
        <f t="shared" si="24"/>
        <v>0</v>
      </c>
      <c r="AB150" t="str">
        <f t="shared" si="25"/>
        <v>0</v>
      </c>
      <c r="AC150">
        <f t="shared" si="26"/>
        <v>0</v>
      </c>
      <c r="AD150">
        <f t="shared" si="27"/>
        <v>0</v>
      </c>
      <c r="AE150">
        <f t="shared" si="28"/>
        <v>0</v>
      </c>
      <c r="AF150">
        <f t="shared" si="29"/>
        <v>0</v>
      </c>
    </row>
    <row r="151" spans="1:32" x14ac:dyDescent="0.3">
      <c r="A151">
        <v>24</v>
      </c>
      <c r="B151">
        <v>80</v>
      </c>
      <c r="C151">
        <v>164</v>
      </c>
      <c r="D151">
        <f t="shared" si="20"/>
        <v>29.744199881023206</v>
      </c>
      <c r="E151">
        <f t="shared" si="21"/>
        <v>3</v>
      </c>
      <c r="F151">
        <v>109</v>
      </c>
      <c r="G151">
        <f t="shared" si="22"/>
        <v>29</v>
      </c>
      <c r="H151">
        <v>1</v>
      </c>
      <c r="I151" t="s">
        <v>32</v>
      </c>
      <c r="J151">
        <v>0</v>
      </c>
      <c r="K151">
        <v>0</v>
      </c>
      <c r="L151">
        <v>0</v>
      </c>
      <c r="M151">
        <v>40</v>
      </c>
      <c r="N151">
        <v>3</v>
      </c>
      <c r="O151">
        <f t="shared" si="23"/>
        <v>40.428571428571431</v>
      </c>
      <c r="P151">
        <v>0</v>
      </c>
      <c r="Q151">
        <v>1</v>
      </c>
      <c r="R151">
        <v>0</v>
      </c>
      <c r="T151">
        <v>0</v>
      </c>
      <c r="U151">
        <v>0</v>
      </c>
      <c r="V151">
        <v>3000</v>
      </c>
      <c r="W151">
        <v>8</v>
      </c>
      <c r="X151">
        <v>1</v>
      </c>
      <c r="Y151">
        <v>0</v>
      </c>
      <c r="AA151">
        <f t="shared" si="24"/>
        <v>1</v>
      </c>
      <c r="AB151" t="str">
        <f t="shared" si="25"/>
        <v>0</v>
      </c>
      <c r="AC151">
        <f t="shared" si="26"/>
        <v>0</v>
      </c>
      <c r="AD151">
        <f t="shared" si="27"/>
        <v>0</v>
      </c>
      <c r="AE151">
        <f t="shared" si="28"/>
        <v>0</v>
      </c>
      <c r="AF151">
        <f t="shared" si="29"/>
        <v>0</v>
      </c>
    </row>
    <row r="152" spans="1:32" x14ac:dyDescent="0.3">
      <c r="A152">
        <v>22</v>
      </c>
      <c r="B152">
        <v>48</v>
      </c>
      <c r="C152">
        <v>165</v>
      </c>
      <c r="D152">
        <f t="shared" si="20"/>
        <v>17.630853994490359</v>
      </c>
      <c r="E152">
        <f t="shared" si="21"/>
        <v>0</v>
      </c>
      <c r="F152">
        <v>67</v>
      </c>
      <c r="G152">
        <f t="shared" si="22"/>
        <v>19</v>
      </c>
      <c r="H152">
        <v>1</v>
      </c>
      <c r="I152" t="s">
        <v>39</v>
      </c>
      <c r="J152">
        <v>0</v>
      </c>
      <c r="K152">
        <v>0</v>
      </c>
      <c r="L152">
        <v>0</v>
      </c>
      <c r="M152">
        <v>40</v>
      </c>
      <c r="N152">
        <v>6</v>
      </c>
      <c r="O152">
        <f t="shared" si="23"/>
        <v>40.857142857142854</v>
      </c>
      <c r="P152">
        <v>0</v>
      </c>
      <c r="Q152">
        <v>0</v>
      </c>
      <c r="R152">
        <v>0</v>
      </c>
      <c r="T152">
        <v>0</v>
      </c>
      <c r="U152">
        <v>0</v>
      </c>
      <c r="V152">
        <v>3330</v>
      </c>
      <c r="W152">
        <v>9</v>
      </c>
      <c r="X152">
        <v>1</v>
      </c>
      <c r="Y152">
        <v>0</v>
      </c>
      <c r="AA152">
        <f t="shared" si="24"/>
        <v>1</v>
      </c>
      <c r="AB152" t="str">
        <f t="shared" si="25"/>
        <v>0</v>
      </c>
      <c r="AC152">
        <f t="shared" si="26"/>
        <v>0</v>
      </c>
      <c r="AD152">
        <f t="shared" si="27"/>
        <v>0</v>
      </c>
      <c r="AE152">
        <f t="shared" si="28"/>
        <v>0</v>
      </c>
      <c r="AF152">
        <f t="shared" si="29"/>
        <v>0</v>
      </c>
    </row>
    <row r="153" spans="1:32" x14ac:dyDescent="0.3">
      <c r="A153">
        <v>27</v>
      </c>
      <c r="B153">
        <v>50</v>
      </c>
      <c r="C153">
        <v>165</v>
      </c>
      <c r="D153">
        <f t="shared" si="20"/>
        <v>18.365472910927458</v>
      </c>
      <c r="E153">
        <f t="shared" si="21"/>
        <v>0</v>
      </c>
      <c r="F153">
        <v>64</v>
      </c>
      <c r="G153">
        <f t="shared" si="22"/>
        <v>14</v>
      </c>
      <c r="H153">
        <v>1</v>
      </c>
      <c r="I153" t="s">
        <v>59</v>
      </c>
      <c r="J153">
        <v>0</v>
      </c>
      <c r="K153">
        <v>0</v>
      </c>
      <c r="L153">
        <v>0</v>
      </c>
      <c r="M153">
        <v>38</v>
      </c>
      <c r="N153">
        <v>4</v>
      </c>
      <c r="O153">
        <f t="shared" si="23"/>
        <v>38.571428571428569</v>
      </c>
      <c r="P153">
        <v>0</v>
      </c>
      <c r="Q153">
        <v>0</v>
      </c>
      <c r="R153">
        <v>0</v>
      </c>
      <c r="T153">
        <v>0</v>
      </c>
      <c r="U153">
        <v>0</v>
      </c>
      <c r="V153">
        <v>2910</v>
      </c>
      <c r="W153">
        <v>8</v>
      </c>
      <c r="X153">
        <v>0</v>
      </c>
      <c r="Y153">
        <v>0</v>
      </c>
      <c r="AA153">
        <f t="shared" si="24"/>
        <v>0</v>
      </c>
      <c r="AB153" t="str">
        <f t="shared" si="25"/>
        <v>0</v>
      </c>
      <c r="AC153">
        <f t="shared" si="26"/>
        <v>0</v>
      </c>
      <c r="AD153">
        <f t="shared" si="27"/>
        <v>0</v>
      </c>
      <c r="AE153">
        <f t="shared" si="28"/>
        <v>0</v>
      </c>
      <c r="AF153">
        <f t="shared" si="29"/>
        <v>0</v>
      </c>
    </row>
    <row r="154" spans="1:32" x14ac:dyDescent="0.3">
      <c r="A154">
        <v>21</v>
      </c>
      <c r="B154">
        <v>56</v>
      </c>
      <c r="C154">
        <v>155</v>
      </c>
      <c r="D154">
        <f t="shared" si="20"/>
        <v>23.309053069719038</v>
      </c>
      <c r="E154">
        <f t="shared" si="21"/>
        <v>2</v>
      </c>
      <c r="F154">
        <v>78</v>
      </c>
      <c r="G154">
        <f t="shared" si="22"/>
        <v>22</v>
      </c>
      <c r="H154">
        <v>1</v>
      </c>
      <c r="I154" t="s">
        <v>60</v>
      </c>
      <c r="J154">
        <v>0</v>
      </c>
      <c r="K154">
        <v>0</v>
      </c>
      <c r="L154">
        <v>0</v>
      </c>
      <c r="M154">
        <v>39</v>
      </c>
      <c r="N154">
        <v>3</v>
      </c>
      <c r="O154">
        <f t="shared" si="23"/>
        <v>39.428571428571431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3030</v>
      </c>
      <c r="W154">
        <v>9</v>
      </c>
      <c r="X154">
        <v>0</v>
      </c>
      <c r="Y154">
        <v>0</v>
      </c>
      <c r="AA154">
        <f t="shared" si="24"/>
        <v>1</v>
      </c>
      <c r="AB154" t="str">
        <f t="shared" si="25"/>
        <v>0</v>
      </c>
      <c r="AC154">
        <f t="shared" si="26"/>
        <v>0</v>
      </c>
      <c r="AD154">
        <f t="shared" si="27"/>
        <v>0</v>
      </c>
      <c r="AE154">
        <f t="shared" si="28"/>
        <v>0</v>
      </c>
      <c r="AF154">
        <f t="shared" si="29"/>
        <v>0</v>
      </c>
    </row>
    <row r="155" spans="1:32" x14ac:dyDescent="0.3">
      <c r="A155">
        <v>27</v>
      </c>
      <c r="B155">
        <v>83</v>
      </c>
      <c r="C155">
        <v>162</v>
      </c>
      <c r="D155">
        <f t="shared" si="20"/>
        <v>31.626276482243554</v>
      </c>
      <c r="E155">
        <f t="shared" si="21"/>
        <v>3</v>
      </c>
      <c r="F155">
        <v>96</v>
      </c>
      <c r="G155">
        <f t="shared" si="22"/>
        <v>13</v>
      </c>
      <c r="H155">
        <v>0</v>
      </c>
      <c r="J155">
        <v>0</v>
      </c>
      <c r="K155">
        <v>1</v>
      </c>
      <c r="L155">
        <v>5</v>
      </c>
      <c r="M155">
        <v>37</v>
      </c>
      <c r="N155">
        <v>2</v>
      </c>
      <c r="O155">
        <f t="shared" si="23"/>
        <v>37.285714285714285</v>
      </c>
      <c r="P155">
        <v>0</v>
      </c>
      <c r="Q155">
        <v>1</v>
      </c>
      <c r="R155">
        <v>3</v>
      </c>
      <c r="S155" t="s">
        <v>34</v>
      </c>
      <c r="T155">
        <v>0</v>
      </c>
      <c r="U155">
        <v>0</v>
      </c>
      <c r="V155">
        <v>3230</v>
      </c>
      <c r="W155">
        <v>9</v>
      </c>
      <c r="X155">
        <v>1</v>
      </c>
      <c r="Y155">
        <v>0</v>
      </c>
      <c r="AA155">
        <f t="shared" si="24"/>
        <v>1</v>
      </c>
      <c r="AB155" t="str">
        <f t="shared" si="25"/>
        <v>0</v>
      </c>
      <c r="AC155">
        <f t="shared" si="26"/>
        <v>0</v>
      </c>
      <c r="AD155">
        <f t="shared" si="27"/>
        <v>0</v>
      </c>
      <c r="AE155">
        <f t="shared" si="28"/>
        <v>1</v>
      </c>
      <c r="AF155">
        <f t="shared" si="29"/>
        <v>0</v>
      </c>
    </row>
    <row r="156" spans="1:32" x14ac:dyDescent="0.3">
      <c r="A156">
        <v>24</v>
      </c>
      <c r="B156">
        <v>65</v>
      </c>
      <c r="C156">
        <v>165</v>
      </c>
      <c r="D156">
        <f t="shared" si="20"/>
        <v>23.875114784205696</v>
      </c>
      <c r="E156">
        <f t="shared" si="21"/>
        <v>2</v>
      </c>
      <c r="F156">
        <v>82</v>
      </c>
      <c r="G156">
        <f t="shared" si="22"/>
        <v>17</v>
      </c>
      <c r="H156">
        <v>0</v>
      </c>
      <c r="J156">
        <v>0</v>
      </c>
      <c r="K156">
        <v>0</v>
      </c>
      <c r="L156">
        <v>0</v>
      </c>
      <c r="M156">
        <v>39</v>
      </c>
      <c r="N156">
        <v>6</v>
      </c>
      <c r="O156">
        <f t="shared" si="23"/>
        <v>39.857142857142854</v>
      </c>
      <c r="P156">
        <v>0</v>
      </c>
      <c r="Q156">
        <v>0</v>
      </c>
      <c r="R156">
        <v>0</v>
      </c>
      <c r="T156">
        <v>0</v>
      </c>
      <c r="U156">
        <v>0</v>
      </c>
      <c r="V156">
        <v>3300</v>
      </c>
      <c r="W156">
        <v>9</v>
      </c>
      <c r="X156">
        <v>0</v>
      </c>
      <c r="Y156">
        <v>0</v>
      </c>
      <c r="AA156">
        <f t="shared" si="24"/>
        <v>1</v>
      </c>
      <c r="AB156" t="str">
        <f t="shared" si="25"/>
        <v>0</v>
      </c>
      <c r="AC156">
        <f t="shared" si="26"/>
        <v>0</v>
      </c>
      <c r="AD156">
        <f t="shared" si="27"/>
        <v>0</v>
      </c>
      <c r="AE156">
        <f t="shared" si="28"/>
        <v>0</v>
      </c>
      <c r="AF156">
        <f t="shared" si="29"/>
        <v>0</v>
      </c>
    </row>
    <row r="157" spans="1:32" x14ac:dyDescent="0.3">
      <c r="A157">
        <v>40</v>
      </c>
      <c r="B157">
        <v>52</v>
      </c>
      <c r="C157">
        <v>157</v>
      </c>
      <c r="D157">
        <f t="shared" si="20"/>
        <v>21.096190514828187</v>
      </c>
      <c r="E157">
        <f t="shared" si="21"/>
        <v>1</v>
      </c>
      <c r="F157">
        <v>60</v>
      </c>
      <c r="G157">
        <f t="shared" si="22"/>
        <v>8</v>
      </c>
      <c r="H157">
        <v>0</v>
      </c>
      <c r="J157">
        <v>0</v>
      </c>
      <c r="K157">
        <v>0</v>
      </c>
      <c r="L157">
        <v>2</v>
      </c>
      <c r="M157">
        <v>38</v>
      </c>
      <c r="N157">
        <v>3</v>
      </c>
      <c r="O157">
        <f t="shared" si="23"/>
        <v>38.428571428571431</v>
      </c>
      <c r="P157">
        <v>0</v>
      </c>
      <c r="Q157">
        <v>0</v>
      </c>
      <c r="R157">
        <v>0</v>
      </c>
      <c r="T157">
        <v>0</v>
      </c>
      <c r="U157">
        <v>0</v>
      </c>
      <c r="V157">
        <v>3095</v>
      </c>
      <c r="W157">
        <v>9</v>
      </c>
      <c r="X157">
        <v>1</v>
      </c>
      <c r="Y157">
        <v>0</v>
      </c>
      <c r="AA157">
        <f t="shared" si="24"/>
        <v>0</v>
      </c>
      <c r="AB157" t="str">
        <f t="shared" si="25"/>
        <v>0</v>
      </c>
      <c r="AC157">
        <f t="shared" si="26"/>
        <v>0</v>
      </c>
      <c r="AD157">
        <f t="shared" si="27"/>
        <v>0</v>
      </c>
      <c r="AE157">
        <f t="shared" si="28"/>
        <v>0</v>
      </c>
      <c r="AF157">
        <f t="shared" si="29"/>
        <v>0</v>
      </c>
    </row>
    <row r="158" spans="1:32" x14ac:dyDescent="0.3">
      <c r="A158">
        <v>35</v>
      </c>
      <c r="B158">
        <v>75</v>
      </c>
      <c r="C158">
        <v>153</v>
      </c>
      <c r="D158">
        <f t="shared" si="20"/>
        <v>32.038959374599514</v>
      </c>
      <c r="E158">
        <f t="shared" si="21"/>
        <v>3</v>
      </c>
      <c r="F158">
        <v>92</v>
      </c>
      <c r="G158">
        <f t="shared" si="22"/>
        <v>17</v>
      </c>
      <c r="H158">
        <v>1</v>
      </c>
      <c r="I158" t="s">
        <v>32</v>
      </c>
      <c r="J158">
        <v>0</v>
      </c>
      <c r="K158">
        <v>1</v>
      </c>
      <c r="L158">
        <v>1</v>
      </c>
      <c r="M158">
        <v>38</v>
      </c>
      <c r="N158">
        <v>6</v>
      </c>
      <c r="O158">
        <f t="shared" si="23"/>
        <v>38.857142857142854</v>
      </c>
      <c r="P158">
        <v>0</v>
      </c>
      <c r="Q158">
        <v>0</v>
      </c>
      <c r="R158">
        <v>3</v>
      </c>
      <c r="S158" t="s">
        <v>34</v>
      </c>
      <c r="T158">
        <v>0</v>
      </c>
      <c r="U158">
        <v>0</v>
      </c>
      <c r="V158">
        <v>3270</v>
      </c>
      <c r="W158">
        <v>8</v>
      </c>
      <c r="X158">
        <v>1</v>
      </c>
      <c r="Y158">
        <v>0</v>
      </c>
      <c r="AA158">
        <f t="shared" si="24"/>
        <v>1</v>
      </c>
      <c r="AB158" t="str">
        <f t="shared" si="25"/>
        <v>0</v>
      </c>
      <c r="AC158">
        <f t="shared" si="26"/>
        <v>0</v>
      </c>
      <c r="AD158">
        <f t="shared" si="27"/>
        <v>0</v>
      </c>
      <c r="AE158">
        <f t="shared" si="28"/>
        <v>1</v>
      </c>
      <c r="AF158">
        <f t="shared" si="29"/>
        <v>0</v>
      </c>
    </row>
    <row r="159" spans="1:32" x14ac:dyDescent="0.3">
      <c r="A159">
        <v>22</v>
      </c>
      <c r="B159">
        <v>48</v>
      </c>
      <c r="C159">
        <v>158</v>
      </c>
      <c r="D159">
        <f t="shared" si="20"/>
        <v>19.227687870533565</v>
      </c>
      <c r="E159">
        <f t="shared" si="21"/>
        <v>1</v>
      </c>
      <c r="F159">
        <v>64</v>
      </c>
      <c r="G159">
        <f t="shared" si="22"/>
        <v>16</v>
      </c>
      <c r="H159">
        <v>0</v>
      </c>
      <c r="J159">
        <v>0</v>
      </c>
      <c r="K159">
        <v>0</v>
      </c>
      <c r="L159">
        <v>1</v>
      </c>
      <c r="M159">
        <v>38</v>
      </c>
      <c r="N159">
        <v>0</v>
      </c>
      <c r="O159">
        <f t="shared" si="23"/>
        <v>38</v>
      </c>
      <c r="P159">
        <v>0</v>
      </c>
      <c r="Q159">
        <v>0</v>
      </c>
      <c r="R159">
        <v>0</v>
      </c>
      <c r="T159">
        <v>2</v>
      </c>
      <c r="U159">
        <v>0</v>
      </c>
      <c r="V159">
        <v>3170</v>
      </c>
      <c r="W159">
        <v>9</v>
      </c>
      <c r="X159">
        <v>1</v>
      </c>
      <c r="Y159">
        <v>0</v>
      </c>
      <c r="AA159">
        <f t="shared" si="24"/>
        <v>1</v>
      </c>
      <c r="AB159" t="str">
        <f t="shared" si="25"/>
        <v>0</v>
      </c>
      <c r="AC159">
        <f t="shared" si="26"/>
        <v>0</v>
      </c>
      <c r="AD159">
        <f t="shared" si="27"/>
        <v>0</v>
      </c>
      <c r="AE159">
        <f t="shared" si="28"/>
        <v>0</v>
      </c>
      <c r="AF159">
        <f t="shared" si="29"/>
        <v>0</v>
      </c>
    </row>
    <row r="160" spans="1:32" x14ac:dyDescent="0.3">
      <c r="A160">
        <v>39</v>
      </c>
      <c r="B160">
        <v>54</v>
      </c>
      <c r="C160">
        <v>158</v>
      </c>
      <c r="D160">
        <f t="shared" si="20"/>
        <v>21.631148854350261</v>
      </c>
      <c r="E160">
        <f t="shared" si="21"/>
        <v>1</v>
      </c>
      <c r="F160">
        <v>69</v>
      </c>
      <c r="G160">
        <f t="shared" si="22"/>
        <v>15</v>
      </c>
      <c r="H160">
        <v>0</v>
      </c>
      <c r="J160">
        <v>0</v>
      </c>
      <c r="K160">
        <v>0</v>
      </c>
      <c r="L160">
        <v>0</v>
      </c>
      <c r="M160">
        <v>38</v>
      </c>
      <c r="N160">
        <v>4</v>
      </c>
      <c r="O160">
        <f t="shared" si="23"/>
        <v>38.571428571428569</v>
      </c>
      <c r="P160">
        <v>1</v>
      </c>
      <c r="Q160">
        <v>0</v>
      </c>
      <c r="R160">
        <v>0</v>
      </c>
      <c r="T160">
        <v>0</v>
      </c>
      <c r="U160">
        <v>0</v>
      </c>
      <c r="V160">
        <v>3300</v>
      </c>
      <c r="W160">
        <v>8</v>
      </c>
      <c r="X160">
        <v>1</v>
      </c>
      <c r="Y160">
        <v>0</v>
      </c>
      <c r="AA160">
        <f t="shared" si="24"/>
        <v>0</v>
      </c>
      <c r="AB160" t="str">
        <f t="shared" si="25"/>
        <v>0</v>
      </c>
      <c r="AC160">
        <f t="shared" si="26"/>
        <v>0</v>
      </c>
      <c r="AD160">
        <f t="shared" si="27"/>
        <v>0</v>
      </c>
      <c r="AE160">
        <f t="shared" si="28"/>
        <v>0</v>
      </c>
      <c r="AF160">
        <f t="shared" si="29"/>
        <v>0</v>
      </c>
    </row>
    <row r="161" spans="1:32" x14ac:dyDescent="0.3">
      <c r="A161">
        <v>25</v>
      </c>
      <c r="B161">
        <v>65</v>
      </c>
      <c r="C161">
        <v>163</v>
      </c>
      <c r="D161">
        <f t="shared" si="20"/>
        <v>24.464601603372351</v>
      </c>
      <c r="E161">
        <f t="shared" si="21"/>
        <v>2</v>
      </c>
      <c r="F161">
        <v>83</v>
      </c>
      <c r="G161">
        <f t="shared" si="22"/>
        <v>18</v>
      </c>
      <c r="H161">
        <v>0</v>
      </c>
      <c r="J161">
        <v>0</v>
      </c>
      <c r="K161">
        <v>0</v>
      </c>
      <c r="L161">
        <v>2</v>
      </c>
      <c r="M161">
        <v>37</v>
      </c>
      <c r="N161">
        <v>2</v>
      </c>
      <c r="O161">
        <f t="shared" si="23"/>
        <v>37.285714285714285</v>
      </c>
      <c r="P161">
        <v>1</v>
      </c>
      <c r="Q161">
        <v>0</v>
      </c>
      <c r="R161">
        <v>0</v>
      </c>
      <c r="T161">
        <v>2</v>
      </c>
      <c r="U161">
        <v>0</v>
      </c>
      <c r="V161">
        <v>3030</v>
      </c>
      <c r="W161">
        <v>8</v>
      </c>
      <c r="X161">
        <v>1</v>
      </c>
      <c r="Y161">
        <v>0</v>
      </c>
      <c r="AA161">
        <f t="shared" si="24"/>
        <v>1</v>
      </c>
      <c r="AB161" t="str">
        <f t="shared" si="25"/>
        <v>0</v>
      </c>
      <c r="AC161">
        <f t="shared" si="26"/>
        <v>0</v>
      </c>
      <c r="AD161">
        <f t="shared" si="27"/>
        <v>0</v>
      </c>
      <c r="AE161">
        <f t="shared" si="28"/>
        <v>0</v>
      </c>
      <c r="AF161">
        <f t="shared" si="29"/>
        <v>0</v>
      </c>
    </row>
    <row r="162" spans="1:32" x14ac:dyDescent="0.3">
      <c r="A162">
        <v>24</v>
      </c>
      <c r="B162">
        <v>54</v>
      </c>
      <c r="C162">
        <v>160</v>
      </c>
      <c r="D162">
        <f t="shared" si="20"/>
        <v>21.093749999999996</v>
      </c>
      <c r="E162">
        <f t="shared" si="21"/>
        <v>1</v>
      </c>
      <c r="F162">
        <v>62</v>
      </c>
      <c r="G162">
        <f t="shared" si="22"/>
        <v>8</v>
      </c>
      <c r="H162">
        <v>0</v>
      </c>
      <c r="J162">
        <v>0</v>
      </c>
      <c r="K162">
        <v>0</v>
      </c>
      <c r="L162">
        <v>1</v>
      </c>
      <c r="M162">
        <v>37</v>
      </c>
      <c r="N162">
        <v>1</v>
      </c>
      <c r="O162">
        <f t="shared" si="23"/>
        <v>37.142857142857146</v>
      </c>
      <c r="P162">
        <v>0</v>
      </c>
      <c r="Q162">
        <v>0</v>
      </c>
      <c r="R162">
        <v>3</v>
      </c>
      <c r="S162" t="s">
        <v>36</v>
      </c>
      <c r="T162">
        <v>0</v>
      </c>
      <c r="U162">
        <v>0</v>
      </c>
      <c r="V162">
        <v>2810</v>
      </c>
      <c r="W162">
        <v>9</v>
      </c>
      <c r="X162">
        <v>1</v>
      </c>
      <c r="Y162">
        <v>0</v>
      </c>
      <c r="AA162">
        <f t="shared" si="24"/>
        <v>0</v>
      </c>
      <c r="AB162" t="str">
        <f t="shared" si="25"/>
        <v>0</v>
      </c>
      <c r="AC162">
        <f t="shared" si="26"/>
        <v>0</v>
      </c>
      <c r="AD162">
        <f t="shared" si="27"/>
        <v>0</v>
      </c>
      <c r="AE162">
        <f t="shared" si="28"/>
        <v>1</v>
      </c>
      <c r="AF162">
        <f t="shared" si="29"/>
        <v>0</v>
      </c>
    </row>
    <row r="163" spans="1:32" x14ac:dyDescent="0.3">
      <c r="A163">
        <v>24</v>
      </c>
      <c r="B163">
        <v>54</v>
      </c>
      <c r="C163">
        <v>167</v>
      </c>
      <c r="D163">
        <f t="shared" si="20"/>
        <v>19.362472659471475</v>
      </c>
      <c r="E163">
        <f t="shared" si="21"/>
        <v>1</v>
      </c>
      <c r="F163">
        <v>66</v>
      </c>
      <c r="G163">
        <f t="shared" si="22"/>
        <v>12</v>
      </c>
      <c r="H163">
        <v>1</v>
      </c>
      <c r="I163" t="s">
        <v>61</v>
      </c>
      <c r="J163">
        <v>0</v>
      </c>
      <c r="K163">
        <v>0</v>
      </c>
      <c r="L163">
        <v>2</v>
      </c>
      <c r="M163">
        <v>37</v>
      </c>
      <c r="N163">
        <v>5</v>
      </c>
      <c r="O163">
        <f t="shared" si="23"/>
        <v>37.714285714285715</v>
      </c>
      <c r="P163">
        <v>0</v>
      </c>
      <c r="Q163">
        <v>0</v>
      </c>
      <c r="R163">
        <v>0</v>
      </c>
      <c r="T163">
        <v>1</v>
      </c>
      <c r="U163">
        <v>0</v>
      </c>
      <c r="V163">
        <v>2790</v>
      </c>
      <c r="W163">
        <v>10</v>
      </c>
      <c r="X163">
        <v>0</v>
      </c>
      <c r="Y163">
        <v>0</v>
      </c>
      <c r="AA163">
        <f t="shared" si="24"/>
        <v>0</v>
      </c>
      <c r="AB163" t="str">
        <f t="shared" si="25"/>
        <v>0</v>
      </c>
      <c r="AC163">
        <f t="shared" si="26"/>
        <v>0</v>
      </c>
      <c r="AD163">
        <f t="shared" si="27"/>
        <v>0</v>
      </c>
      <c r="AE163">
        <f t="shared" si="28"/>
        <v>0</v>
      </c>
      <c r="AF163">
        <f t="shared" si="29"/>
        <v>0</v>
      </c>
    </row>
    <row r="164" spans="1:32" x14ac:dyDescent="0.3">
      <c r="A164">
        <v>26</v>
      </c>
      <c r="B164">
        <v>53</v>
      </c>
      <c r="C164">
        <v>153</v>
      </c>
      <c r="D164">
        <f t="shared" si="20"/>
        <v>22.64086462471699</v>
      </c>
      <c r="E164">
        <f t="shared" si="21"/>
        <v>1</v>
      </c>
      <c r="F164">
        <v>70</v>
      </c>
      <c r="G164">
        <f t="shared" si="22"/>
        <v>17</v>
      </c>
      <c r="H164">
        <v>0</v>
      </c>
      <c r="J164">
        <v>0</v>
      </c>
      <c r="K164">
        <v>0</v>
      </c>
      <c r="L164">
        <v>2</v>
      </c>
      <c r="M164">
        <v>38</v>
      </c>
      <c r="N164">
        <v>5</v>
      </c>
      <c r="O164">
        <f t="shared" si="23"/>
        <v>38.714285714285715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3650</v>
      </c>
      <c r="W164">
        <v>9</v>
      </c>
      <c r="X164">
        <v>0</v>
      </c>
      <c r="Y164">
        <v>0</v>
      </c>
      <c r="AA164">
        <f t="shared" si="24"/>
        <v>1</v>
      </c>
      <c r="AB164" t="str">
        <f t="shared" si="25"/>
        <v>2</v>
      </c>
      <c r="AC164">
        <f t="shared" si="26"/>
        <v>0</v>
      </c>
      <c r="AD164">
        <f t="shared" si="27"/>
        <v>0</v>
      </c>
      <c r="AE164">
        <f t="shared" si="28"/>
        <v>0</v>
      </c>
      <c r="AF164">
        <f t="shared" si="29"/>
        <v>0</v>
      </c>
    </row>
    <row r="165" spans="1:32" x14ac:dyDescent="0.3">
      <c r="A165">
        <v>21</v>
      </c>
      <c r="B165">
        <v>47</v>
      </c>
      <c r="C165">
        <v>158</v>
      </c>
      <c r="D165">
        <f t="shared" si="20"/>
        <v>18.827111039897449</v>
      </c>
      <c r="E165">
        <f t="shared" si="21"/>
        <v>1</v>
      </c>
      <c r="F165">
        <v>60</v>
      </c>
      <c r="G165">
        <f t="shared" si="22"/>
        <v>13</v>
      </c>
      <c r="H165">
        <v>0</v>
      </c>
      <c r="J165">
        <v>0</v>
      </c>
      <c r="K165">
        <v>0</v>
      </c>
      <c r="L165">
        <v>0</v>
      </c>
      <c r="M165">
        <v>37</v>
      </c>
      <c r="N165">
        <v>5</v>
      </c>
      <c r="O165">
        <f t="shared" si="23"/>
        <v>37.714285714285715</v>
      </c>
      <c r="P165">
        <v>0</v>
      </c>
      <c r="Q165">
        <v>0</v>
      </c>
      <c r="R165">
        <v>0</v>
      </c>
      <c r="T165">
        <v>0</v>
      </c>
      <c r="U165">
        <v>0</v>
      </c>
      <c r="V165">
        <v>3220</v>
      </c>
      <c r="W165">
        <v>9</v>
      </c>
      <c r="X165">
        <v>0</v>
      </c>
      <c r="Y165">
        <v>0</v>
      </c>
      <c r="AA165">
        <f t="shared" si="24"/>
        <v>0</v>
      </c>
      <c r="AB165" t="str">
        <f t="shared" si="25"/>
        <v>0</v>
      </c>
      <c r="AC165">
        <f t="shared" si="26"/>
        <v>0</v>
      </c>
      <c r="AD165">
        <f t="shared" si="27"/>
        <v>0</v>
      </c>
      <c r="AE165">
        <f t="shared" si="28"/>
        <v>0</v>
      </c>
      <c r="AF165">
        <f t="shared" si="29"/>
        <v>0</v>
      </c>
    </row>
    <row r="166" spans="1:32" x14ac:dyDescent="0.3">
      <c r="A166">
        <v>34</v>
      </c>
      <c r="B166">
        <v>62</v>
      </c>
      <c r="C166">
        <v>167</v>
      </c>
      <c r="D166">
        <f t="shared" si="20"/>
        <v>22.230987127541326</v>
      </c>
      <c r="E166">
        <f t="shared" si="21"/>
        <v>1</v>
      </c>
      <c r="F166">
        <v>80</v>
      </c>
      <c r="G166">
        <f t="shared" si="22"/>
        <v>18</v>
      </c>
      <c r="H166">
        <v>0</v>
      </c>
      <c r="J166">
        <v>0</v>
      </c>
      <c r="K166">
        <v>1</v>
      </c>
      <c r="L166">
        <v>2</v>
      </c>
      <c r="M166">
        <v>37</v>
      </c>
      <c r="N166">
        <v>6</v>
      </c>
      <c r="O166">
        <f t="shared" si="23"/>
        <v>37.857142857142854</v>
      </c>
      <c r="P166">
        <v>0</v>
      </c>
      <c r="Q166">
        <v>1</v>
      </c>
      <c r="R166">
        <v>3</v>
      </c>
      <c r="S166" t="s">
        <v>34</v>
      </c>
      <c r="T166">
        <v>0</v>
      </c>
      <c r="U166">
        <v>0</v>
      </c>
      <c r="V166">
        <v>2970</v>
      </c>
      <c r="W166">
        <v>9</v>
      </c>
      <c r="X166">
        <v>1</v>
      </c>
      <c r="Y166">
        <v>0</v>
      </c>
      <c r="AA166">
        <f t="shared" si="24"/>
        <v>1</v>
      </c>
      <c r="AB166" t="str">
        <f t="shared" si="25"/>
        <v>0</v>
      </c>
      <c r="AC166">
        <f t="shared" si="26"/>
        <v>0</v>
      </c>
      <c r="AD166">
        <f t="shared" si="27"/>
        <v>0</v>
      </c>
      <c r="AE166">
        <f t="shared" si="28"/>
        <v>1</v>
      </c>
      <c r="AF166">
        <f t="shared" si="29"/>
        <v>0</v>
      </c>
    </row>
    <row r="167" spans="1:32" x14ac:dyDescent="0.3">
      <c r="A167">
        <v>21</v>
      </c>
      <c r="B167">
        <v>68</v>
      </c>
      <c r="C167">
        <v>153</v>
      </c>
      <c r="D167">
        <f t="shared" si="20"/>
        <v>29.048656499636891</v>
      </c>
      <c r="E167">
        <f t="shared" si="21"/>
        <v>3</v>
      </c>
      <c r="F167">
        <v>78</v>
      </c>
      <c r="G167">
        <f t="shared" si="22"/>
        <v>10</v>
      </c>
      <c r="H167">
        <v>1</v>
      </c>
      <c r="I167" t="s">
        <v>32</v>
      </c>
      <c r="J167">
        <v>0</v>
      </c>
      <c r="K167">
        <v>0</v>
      </c>
      <c r="L167">
        <v>0</v>
      </c>
      <c r="M167">
        <v>40</v>
      </c>
      <c r="N167">
        <v>4</v>
      </c>
      <c r="O167">
        <f t="shared" si="23"/>
        <v>40.571428571428569</v>
      </c>
      <c r="P167">
        <v>0</v>
      </c>
      <c r="Q167">
        <v>0</v>
      </c>
      <c r="R167">
        <v>2</v>
      </c>
      <c r="S167" t="s">
        <v>62</v>
      </c>
      <c r="T167">
        <v>0</v>
      </c>
      <c r="U167">
        <v>0</v>
      </c>
      <c r="V167">
        <v>3600</v>
      </c>
      <c r="W167">
        <v>8</v>
      </c>
      <c r="X167">
        <v>1</v>
      </c>
      <c r="Y167">
        <v>1</v>
      </c>
      <c r="Z167" t="s">
        <v>63</v>
      </c>
      <c r="AA167">
        <f t="shared" si="24"/>
        <v>1</v>
      </c>
      <c r="AB167" t="str">
        <f t="shared" si="25"/>
        <v>0</v>
      </c>
      <c r="AC167">
        <f t="shared" si="26"/>
        <v>0</v>
      </c>
      <c r="AD167">
        <f t="shared" si="27"/>
        <v>0</v>
      </c>
      <c r="AE167">
        <f t="shared" si="28"/>
        <v>0</v>
      </c>
      <c r="AF167">
        <f t="shared" si="29"/>
        <v>0</v>
      </c>
    </row>
    <row r="168" spans="1:32" x14ac:dyDescent="0.3">
      <c r="A168">
        <v>31</v>
      </c>
      <c r="B168">
        <v>47</v>
      </c>
      <c r="C168">
        <v>163</v>
      </c>
      <c r="D168">
        <f t="shared" si="20"/>
        <v>17.689788851669238</v>
      </c>
      <c r="E168">
        <f t="shared" si="21"/>
        <v>0</v>
      </c>
      <c r="F168">
        <v>62</v>
      </c>
      <c r="G168">
        <f t="shared" si="22"/>
        <v>15</v>
      </c>
      <c r="H168">
        <v>0</v>
      </c>
      <c r="J168">
        <v>0</v>
      </c>
      <c r="K168">
        <v>0</v>
      </c>
      <c r="L168">
        <v>0</v>
      </c>
      <c r="M168">
        <v>39</v>
      </c>
      <c r="N168">
        <v>1</v>
      </c>
      <c r="O168">
        <f t="shared" si="23"/>
        <v>39.142857142857146</v>
      </c>
      <c r="P168">
        <v>0</v>
      </c>
      <c r="Q168">
        <v>0</v>
      </c>
      <c r="R168">
        <v>0</v>
      </c>
      <c r="T168">
        <v>0</v>
      </c>
      <c r="U168">
        <v>0</v>
      </c>
      <c r="V168">
        <v>3260</v>
      </c>
      <c r="W168">
        <v>9</v>
      </c>
      <c r="X168">
        <v>1</v>
      </c>
      <c r="Y168">
        <v>0</v>
      </c>
      <c r="AA168">
        <f t="shared" si="24"/>
        <v>0</v>
      </c>
      <c r="AB168" t="str">
        <f t="shared" si="25"/>
        <v>0</v>
      </c>
      <c r="AC168">
        <f t="shared" si="26"/>
        <v>0</v>
      </c>
      <c r="AD168">
        <f t="shared" si="27"/>
        <v>0</v>
      </c>
      <c r="AE168">
        <f t="shared" si="28"/>
        <v>0</v>
      </c>
      <c r="AF168">
        <f t="shared" si="29"/>
        <v>0</v>
      </c>
    </row>
    <row r="169" spans="1:32" x14ac:dyDescent="0.3">
      <c r="A169">
        <v>28</v>
      </c>
      <c r="B169">
        <v>54</v>
      </c>
      <c r="C169">
        <v>158</v>
      </c>
      <c r="D169">
        <f t="shared" si="20"/>
        <v>21.631148854350261</v>
      </c>
      <c r="E169">
        <f t="shared" si="21"/>
        <v>1</v>
      </c>
      <c r="F169">
        <v>68</v>
      </c>
      <c r="G169">
        <f t="shared" si="22"/>
        <v>14</v>
      </c>
      <c r="H169">
        <v>0</v>
      </c>
      <c r="J169">
        <v>0</v>
      </c>
      <c r="K169">
        <v>1</v>
      </c>
      <c r="L169">
        <v>1</v>
      </c>
      <c r="M169">
        <v>38</v>
      </c>
      <c r="N169">
        <v>5</v>
      </c>
      <c r="O169">
        <f t="shared" si="23"/>
        <v>38.714285714285715</v>
      </c>
      <c r="P169">
        <v>0</v>
      </c>
      <c r="Q169">
        <v>0</v>
      </c>
      <c r="R169">
        <v>3</v>
      </c>
      <c r="S169" t="s">
        <v>34</v>
      </c>
      <c r="T169">
        <v>0</v>
      </c>
      <c r="U169">
        <v>0</v>
      </c>
      <c r="V169">
        <v>3120</v>
      </c>
      <c r="W169">
        <v>9</v>
      </c>
      <c r="X169">
        <v>1</v>
      </c>
      <c r="Y169">
        <v>0</v>
      </c>
      <c r="AA169">
        <f t="shared" si="24"/>
        <v>0</v>
      </c>
      <c r="AB169" t="str">
        <f t="shared" si="25"/>
        <v>0</v>
      </c>
      <c r="AC169">
        <f t="shared" si="26"/>
        <v>0</v>
      </c>
      <c r="AD169">
        <f t="shared" si="27"/>
        <v>0</v>
      </c>
      <c r="AE169">
        <f t="shared" si="28"/>
        <v>1</v>
      </c>
      <c r="AF169">
        <f t="shared" si="29"/>
        <v>0</v>
      </c>
    </row>
    <row r="170" spans="1:32" x14ac:dyDescent="0.3">
      <c r="A170">
        <v>29</v>
      </c>
      <c r="B170">
        <v>53</v>
      </c>
      <c r="C170">
        <v>153</v>
      </c>
      <c r="D170">
        <f t="shared" si="20"/>
        <v>22.64086462471699</v>
      </c>
      <c r="E170">
        <f t="shared" si="21"/>
        <v>1</v>
      </c>
      <c r="F170">
        <v>79</v>
      </c>
      <c r="G170">
        <f t="shared" si="22"/>
        <v>26</v>
      </c>
      <c r="H170">
        <v>0</v>
      </c>
      <c r="J170">
        <v>0</v>
      </c>
      <c r="K170">
        <v>1</v>
      </c>
      <c r="L170">
        <v>1</v>
      </c>
      <c r="M170">
        <v>38</v>
      </c>
      <c r="N170">
        <v>2</v>
      </c>
      <c r="O170">
        <f t="shared" si="23"/>
        <v>38.285714285714285</v>
      </c>
      <c r="P170">
        <v>0</v>
      </c>
      <c r="Q170">
        <v>0</v>
      </c>
      <c r="R170">
        <v>3</v>
      </c>
      <c r="S170" t="s">
        <v>34</v>
      </c>
      <c r="T170">
        <v>0</v>
      </c>
      <c r="U170">
        <v>0</v>
      </c>
      <c r="V170">
        <v>3090</v>
      </c>
      <c r="W170">
        <v>9</v>
      </c>
      <c r="X170">
        <v>1</v>
      </c>
      <c r="Y170">
        <v>0</v>
      </c>
      <c r="AA170">
        <f t="shared" si="24"/>
        <v>1</v>
      </c>
      <c r="AB170" t="str">
        <f t="shared" si="25"/>
        <v>0</v>
      </c>
      <c r="AC170">
        <f t="shared" si="26"/>
        <v>0</v>
      </c>
      <c r="AD170">
        <f t="shared" si="27"/>
        <v>0</v>
      </c>
      <c r="AE170">
        <f t="shared" si="28"/>
        <v>1</v>
      </c>
      <c r="AF170">
        <f t="shared" si="29"/>
        <v>0</v>
      </c>
    </row>
    <row r="171" spans="1:32" x14ac:dyDescent="0.3">
      <c r="A171">
        <v>25</v>
      </c>
      <c r="B171">
        <v>39</v>
      </c>
      <c r="C171">
        <v>149</v>
      </c>
      <c r="D171">
        <f t="shared" si="20"/>
        <v>17.56677627133913</v>
      </c>
      <c r="E171">
        <f t="shared" si="21"/>
        <v>0</v>
      </c>
      <c r="F171">
        <v>49</v>
      </c>
      <c r="G171">
        <f t="shared" si="22"/>
        <v>10</v>
      </c>
      <c r="H171">
        <v>0</v>
      </c>
      <c r="J171">
        <v>0</v>
      </c>
      <c r="K171">
        <v>0</v>
      </c>
      <c r="L171">
        <v>0</v>
      </c>
      <c r="M171">
        <v>39</v>
      </c>
      <c r="N171">
        <v>0</v>
      </c>
      <c r="O171">
        <f t="shared" si="23"/>
        <v>39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2900</v>
      </c>
      <c r="W171">
        <v>8</v>
      </c>
      <c r="X171">
        <v>0</v>
      </c>
      <c r="Y171">
        <v>0</v>
      </c>
      <c r="AA171">
        <f t="shared" si="24"/>
        <v>0</v>
      </c>
      <c r="AB171" t="str">
        <f t="shared" si="25"/>
        <v>0</v>
      </c>
      <c r="AC171">
        <f t="shared" si="26"/>
        <v>0</v>
      </c>
      <c r="AD171">
        <f t="shared" si="27"/>
        <v>0</v>
      </c>
      <c r="AE171">
        <f t="shared" si="28"/>
        <v>0</v>
      </c>
      <c r="AF171">
        <f t="shared" si="29"/>
        <v>0</v>
      </c>
    </row>
    <row r="172" spans="1:32" x14ac:dyDescent="0.3">
      <c r="A172">
        <v>34</v>
      </c>
      <c r="B172">
        <v>90</v>
      </c>
      <c r="C172">
        <v>165</v>
      </c>
      <c r="D172">
        <f t="shared" si="20"/>
        <v>33.057851239669425</v>
      </c>
      <c r="E172">
        <f t="shared" si="21"/>
        <v>3</v>
      </c>
      <c r="F172">
        <v>105</v>
      </c>
      <c r="G172">
        <f t="shared" si="22"/>
        <v>15</v>
      </c>
      <c r="H172">
        <v>1</v>
      </c>
      <c r="I172" t="s">
        <v>32</v>
      </c>
      <c r="J172">
        <v>1</v>
      </c>
      <c r="K172">
        <v>0</v>
      </c>
      <c r="L172">
        <v>2</v>
      </c>
      <c r="M172">
        <v>41</v>
      </c>
      <c r="N172">
        <v>1</v>
      </c>
      <c r="O172">
        <f t="shared" si="23"/>
        <v>41.142857142857146</v>
      </c>
      <c r="P172">
        <v>1</v>
      </c>
      <c r="Q172">
        <v>0</v>
      </c>
      <c r="R172">
        <v>0</v>
      </c>
      <c r="T172">
        <v>2</v>
      </c>
      <c r="U172">
        <v>0</v>
      </c>
      <c r="V172">
        <v>3270</v>
      </c>
      <c r="W172">
        <v>9</v>
      </c>
      <c r="X172">
        <v>1</v>
      </c>
      <c r="Y172">
        <v>0</v>
      </c>
      <c r="AA172">
        <f t="shared" si="24"/>
        <v>1</v>
      </c>
      <c r="AB172" t="str">
        <f t="shared" si="25"/>
        <v>0</v>
      </c>
      <c r="AC172">
        <f t="shared" si="26"/>
        <v>0</v>
      </c>
      <c r="AD172">
        <f t="shared" si="27"/>
        <v>0</v>
      </c>
      <c r="AE172">
        <f t="shared" si="28"/>
        <v>0</v>
      </c>
      <c r="AF172">
        <f t="shared" si="29"/>
        <v>0</v>
      </c>
    </row>
    <row r="173" spans="1:32" x14ac:dyDescent="0.3">
      <c r="A173">
        <v>27</v>
      </c>
      <c r="B173">
        <v>63</v>
      </c>
      <c r="C173">
        <v>175</v>
      </c>
      <c r="D173">
        <f t="shared" si="20"/>
        <v>20.571428571428573</v>
      </c>
      <c r="E173">
        <f t="shared" si="21"/>
        <v>1</v>
      </c>
      <c r="F173">
        <v>80</v>
      </c>
      <c r="G173">
        <f t="shared" si="22"/>
        <v>17</v>
      </c>
      <c r="H173">
        <v>0</v>
      </c>
      <c r="J173">
        <v>0</v>
      </c>
      <c r="K173">
        <v>0</v>
      </c>
      <c r="L173">
        <v>0</v>
      </c>
      <c r="M173">
        <v>40</v>
      </c>
      <c r="N173">
        <v>3</v>
      </c>
      <c r="O173">
        <f t="shared" si="23"/>
        <v>40.428571428571431</v>
      </c>
      <c r="P173">
        <v>0</v>
      </c>
      <c r="Q173">
        <v>0</v>
      </c>
      <c r="R173">
        <v>3</v>
      </c>
      <c r="S173" t="s">
        <v>35</v>
      </c>
      <c r="T173">
        <v>0</v>
      </c>
      <c r="U173">
        <v>0</v>
      </c>
      <c r="V173">
        <v>3210</v>
      </c>
      <c r="W173">
        <v>9</v>
      </c>
      <c r="X173">
        <v>1</v>
      </c>
      <c r="Y173">
        <v>0</v>
      </c>
      <c r="AA173">
        <f t="shared" si="24"/>
        <v>1</v>
      </c>
      <c r="AB173" t="str">
        <f t="shared" si="25"/>
        <v>0</v>
      </c>
      <c r="AC173">
        <f t="shared" si="26"/>
        <v>0</v>
      </c>
      <c r="AD173">
        <f t="shared" si="27"/>
        <v>0</v>
      </c>
      <c r="AE173">
        <f t="shared" si="28"/>
        <v>1</v>
      </c>
      <c r="AF173">
        <f t="shared" si="29"/>
        <v>0</v>
      </c>
    </row>
    <row r="174" spans="1:32" x14ac:dyDescent="0.3">
      <c r="A174">
        <v>22</v>
      </c>
      <c r="B174">
        <v>55</v>
      </c>
      <c r="C174">
        <v>155</v>
      </c>
      <c r="D174">
        <f t="shared" si="20"/>
        <v>22.892819979188342</v>
      </c>
      <c r="E174">
        <f t="shared" si="21"/>
        <v>1</v>
      </c>
      <c r="F174">
        <v>74</v>
      </c>
      <c r="G174">
        <f t="shared" si="22"/>
        <v>19</v>
      </c>
      <c r="H174">
        <v>0</v>
      </c>
      <c r="J174">
        <v>0</v>
      </c>
      <c r="K174">
        <v>0</v>
      </c>
      <c r="L174">
        <v>1</v>
      </c>
      <c r="M174">
        <v>39</v>
      </c>
      <c r="N174">
        <v>5</v>
      </c>
      <c r="O174">
        <f t="shared" si="23"/>
        <v>39.714285714285715</v>
      </c>
      <c r="P174">
        <v>0</v>
      </c>
      <c r="Q174">
        <v>0</v>
      </c>
      <c r="R174">
        <v>0</v>
      </c>
      <c r="T174">
        <v>0</v>
      </c>
      <c r="U174">
        <v>0</v>
      </c>
      <c r="V174">
        <v>3270</v>
      </c>
      <c r="W174">
        <v>9</v>
      </c>
      <c r="X174">
        <v>0</v>
      </c>
      <c r="Y174">
        <v>0</v>
      </c>
      <c r="AA174">
        <f t="shared" si="24"/>
        <v>1</v>
      </c>
      <c r="AB174" t="str">
        <f t="shared" si="25"/>
        <v>0</v>
      </c>
      <c r="AC174">
        <f t="shared" si="26"/>
        <v>0</v>
      </c>
      <c r="AD174">
        <f t="shared" si="27"/>
        <v>0</v>
      </c>
      <c r="AE174">
        <f t="shared" si="28"/>
        <v>0</v>
      </c>
      <c r="AF174">
        <f t="shared" si="29"/>
        <v>0</v>
      </c>
    </row>
    <row r="175" spans="1:32" x14ac:dyDescent="0.3">
      <c r="A175">
        <v>18</v>
      </c>
      <c r="B175">
        <v>59</v>
      </c>
      <c r="C175">
        <v>167</v>
      </c>
      <c r="D175">
        <f t="shared" si="20"/>
        <v>21.155294202015131</v>
      </c>
      <c r="E175">
        <f t="shared" si="21"/>
        <v>1</v>
      </c>
      <c r="F175">
        <v>66</v>
      </c>
      <c r="G175">
        <f t="shared" si="22"/>
        <v>7</v>
      </c>
      <c r="H175">
        <v>0</v>
      </c>
      <c r="J175">
        <v>0</v>
      </c>
      <c r="K175">
        <v>0</v>
      </c>
      <c r="L175">
        <v>0</v>
      </c>
      <c r="M175">
        <v>38</v>
      </c>
      <c r="N175">
        <v>5</v>
      </c>
      <c r="O175">
        <f t="shared" si="23"/>
        <v>38.714285714285715</v>
      </c>
      <c r="P175">
        <v>0</v>
      </c>
      <c r="Q175">
        <v>0</v>
      </c>
      <c r="R175">
        <v>0</v>
      </c>
      <c r="T175">
        <v>0</v>
      </c>
      <c r="U175">
        <v>0</v>
      </c>
      <c r="V175">
        <v>3010</v>
      </c>
      <c r="W175">
        <v>9</v>
      </c>
      <c r="X175">
        <v>0</v>
      </c>
      <c r="Y175">
        <v>0</v>
      </c>
      <c r="AA175">
        <f t="shared" si="24"/>
        <v>0</v>
      </c>
      <c r="AB175" t="str">
        <f t="shared" si="25"/>
        <v>0</v>
      </c>
      <c r="AC175">
        <f t="shared" si="26"/>
        <v>0</v>
      </c>
      <c r="AD175">
        <f t="shared" si="27"/>
        <v>0</v>
      </c>
      <c r="AE175">
        <f t="shared" si="28"/>
        <v>0</v>
      </c>
      <c r="AF175">
        <f t="shared" si="29"/>
        <v>0</v>
      </c>
    </row>
    <row r="176" spans="1:32" x14ac:dyDescent="0.3">
      <c r="A176">
        <v>23</v>
      </c>
      <c r="B176">
        <v>51</v>
      </c>
      <c r="C176">
        <v>160</v>
      </c>
      <c r="D176">
        <f t="shared" si="20"/>
        <v>19.921874999999996</v>
      </c>
      <c r="E176">
        <f t="shared" si="21"/>
        <v>1</v>
      </c>
      <c r="F176">
        <v>60</v>
      </c>
      <c r="G176">
        <f t="shared" si="22"/>
        <v>9</v>
      </c>
      <c r="H176">
        <v>0</v>
      </c>
      <c r="J176">
        <v>0</v>
      </c>
      <c r="K176">
        <v>0</v>
      </c>
      <c r="L176">
        <v>2</v>
      </c>
      <c r="M176">
        <v>38</v>
      </c>
      <c r="N176">
        <v>4</v>
      </c>
      <c r="O176">
        <f t="shared" si="23"/>
        <v>38.571428571428569</v>
      </c>
      <c r="P176">
        <v>0</v>
      </c>
      <c r="Q176">
        <v>0</v>
      </c>
      <c r="R176">
        <v>0</v>
      </c>
      <c r="T176">
        <v>0</v>
      </c>
      <c r="U176">
        <v>0</v>
      </c>
      <c r="V176">
        <v>3360</v>
      </c>
      <c r="W176">
        <v>9</v>
      </c>
      <c r="X176">
        <v>1</v>
      </c>
      <c r="Y176">
        <v>1</v>
      </c>
      <c r="Z176" t="s">
        <v>64</v>
      </c>
      <c r="AA176">
        <f t="shared" si="24"/>
        <v>0</v>
      </c>
      <c r="AB176" t="str">
        <f t="shared" si="25"/>
        <v>0</v>
      </c>
      <c r="AC176">
        <f t="shared" si="26"/>
        <v>0</v>
      </c>
      <c r="AD176">
        <f t="shared" si="27"/>
        <v>0</v>
      </c>
      <c r="AE176">
        <f t="shared" si="28"/>
        <v>0</v>
      </c>
      <c r="AF176">
        <f t="shared" si="29"/>
        <v>0</v>
      </c>
    </row>
    <row r="177" spans="1:32" x14ac:dyDescent="0.3">
      <c r="A177">
        <v>24</v>
      </c>
      <c r="B177">
        <v>48</v>
      </c>
      <c r="C177">
        <v>158</v>
      </c>
      <c r="D177">
        <f t="shared" si="20"/>
        <v>19.227687870533565</v>
      </c>
      <c r="E177">
        <f t="shared" si="21"/>
        <v>1</v>
      </c>
      <c r="F177">
        <v>63.5</v>
      </c>
      <c r="G177">
        <f t="shared" si="22"/>
        <v>15.5</v>
      </c>
      <c r="H177">
        <v>0</v>
      </c>
      <c r="J177">
        <v>0</v>
      </c>
      <c r="K177">
        <v>0</v>
      </c>
      <c r="L177">
        <v>0</v>
      </c>
      <c r="M177">
        <v>39</v>
      </c>
      <c r="N177">
        <v>5</v>
      </c>
      <c r="O177">
        <f t="shared" si="23"/>
        <v>39.714285714285715</v>
      </c>
      <c r="P177">
        <v>0</v>
      </c>
      <c r="Q177">
        <v>0</v>
      </c>
      <c r="R177">
        <v>0</v>
      </c>
      <c r="T177">
        <v>0</v>
      </c>
      <c r="U177">
        <v>0</v>
      </c>
      <c r="V177">
        <v>3310</v>
      </c>
      <c r="W177">
        <v>9</v>
      </c>
      <c r="X177">
        <v>1</v>
      </c>
      <c r="Y177">
        <v>0</v>
      </c>
      <c r="AA177">
        <f t="shared" si="24"/>
        <v>0</v>
      </c>
      <c r="AB177" t="str">
        <f t="shared" si="25"/>
        <v>0</v>
      </c>
      <c r="AC177">
        <f t="shared" si="26"/>
        <v>0</v>
      </c>
      <c r="AD177">
        <f t="shared" si="27"/>
        <v>0</v>
      </c>
      <c r="AE177">
        <f t="shared" si="28"/>
        <v>0</v>
      </c>
      <c r="AF177">
        <f t="shared" si="29"/>
        <v>0</v>
      </c>
    </row>
    <row r="178" spans="1:32" x14ac:dyDescent="0.3">
      <c r="A178">
        <v>38</v>
      </c>
      <c r="B178">
        <v>45</v>
      </c>
      <c r="C178">
        <v>157</v>
      </c>
      <c r="D178">
        <f t="shared" si="20"/>
        <v>18.25631871475516</v>
      </c>
      <c r="E178">
        <f t="shared" si="21"/>
        <v>0</v>
      </c>
      <c r="F178">
        <v>57</v>
      </c>
      <c r="G178">
        <f t="shared" si="22"/>
        <v>12</v>
      </c>
      <c r="H178">
        <v>0</v>
      </c>
      <c r="J178">
        <v>0</v>
      </c>
      <c r="K178">
        <v>0</v>
      </c>
      <c r="L178">
        <v>1</v>
      </c>
      <c r="M178">
        <v>37</v>
      </c>
      <c r="N178">
        <v>6</v>
      </c>
      <c r="O178">
        <f t="shared" si="23"/>
        <v>37.857142857142854</v>
      </c>
      <c r="P178">
        <v>0</v>
      </c>
      <c r="Q178">
        <v>0</v>
      </c>
      <c r="R178">
        <v>0</v>
      </c>
      <c r="T178">
        <v>0</v>
      </c>
      <c r="U178">
        <v>0</v>
      </c>
      <c r="V178">
        <v>3020</v>
      </c>
      <c r="W178">
        <v>9</v>
      </c>
      <c r="X178">
        <v>0</v>
      </c>
      <c r="Y178">
        <v>0</v>
      </c>
      <c r="AA178">
        <f t="shared" si="24"/>
        <v>0</v>
      </c>
      <c r="AB178" t="str">
        <f t="shared" si="25"/>
        <v>0</v>
      </c>
      <c r="AC178">
        <f t="shared" si="26"/>
        <v>0</v>
      </c>
      <c r="AD178">
        <f t="shared" si="27"/>
        <v>0</v>
      </c>
      <c r="AE178">
        <f t="shared" si="28"/>
        <v>0</v>
      </c>
      <c r="AF178">
        <f t="shared" si="29"/>
        <v>0</v>
      </c>
    </row>
    <row r="179" spans="1:32" x14ac:dyDescent="0.3">
      <c r="A179">
        <v>25</v>
      </c>
      <c r="B179">
        <v>59</v>
      </c>
      <c r="C179">
        <v>156</v>
      </c>
      <c r="D179">
        <f t="shared" si="20"/>
        <v>24.243918474687703</v>
      </c>
      <c r="E179">
        <f t="shared" si="21"/>
        <v>2</v>
      </c>
      <c r="F179">
        <v>70</v>
      </c>
      <c r="G179">
        <f t="shared" si="22"/>
        <v>11</v>
      </c>
      <c r="H179">
        <v>0</v>
      </c>
      <c r="J179">
        <v>0</v>
      </c>
      <c r="K179">
        <v>0</v>
      </c>
      <c r="L179">
        <v>0</v>
      </c>
      <c r="M179">
        <v>40</v>
      </c>
      <c r="N179">
        <v>4</v>
      </c>
      <c r="O179">
        <f t="shared" si="23"/>
        <v>40.571428571428569</v>
      </c>
      <c r="P179">
        <v>0</v>
      </c>
      <c r="Q179">
        <v>0</v>
      </c>
      <c r="R179">
        <v>1</v>
      </c>
      <c r="S179" t="s">
        <v>43</v>
      </c>
      <c r="T179">
        <v>0</v>
      </c>
      <c r="U179">
        <v>0</v>
      </c>
      <c r="V179">
        <v>3760</v>
      </c>
      <c r="W179">
        <v>9</v>
      </c>
      <c r="X179">
        <v>1</v>
      </c>
      <c r="Y179">
        <v>0</v>
      </c>
      <c r="AA179">
        <f t="shared" si="24"/>
        <v>0</v>
      </c>
      <c r="AB179" t="str">
        <f t="shared" si="25"/>
        <v>0</v>
      </c>
      <c r="AC179">
        <f t="shared" si="26"/>
        <v>0</v>
      </c>
      <c r="AD179">
        <f t="shared" si="27"/>
        <v>0</v>
      </c>
      <c r="AE179">
        <f t="shared" si="28"/>
        <v>0</v>
      </c>
      <c r="AF179">
        <f t="shared" si="29"/>
        <v>0</v>
      </c>
    </row>
    <row r="180" spans="1:32" x14ac:dyDescent="0.3">
      <c r="A180">
        <v>16</v>
      </c>
      <c r="B180">
        <v>60</v>
      </c>
      <c r="C180">
        <v>165</v>
      </c>
      <c r="D180">
        <f t="shared" si="20"/>
        <v>22.03856749311295</v>
      </c>
      <c r="E180">
        <f t="shared" si="21"/>
        <v>1</v>
      </c>
      <c r="F180">
        <v>79</v>
      </c>
      <c r="G180">
        <f t="shared" si="22"/>
        <v>19</v>
      </c>
      <c r="H180">
        <v>0</v>
      </c>
      <c r="J180">
        <v>0</v>
      </c>
      <c r="K180">
        <v>0</v>
      </c>
      <c r="L180">
        <v>0</v>
      </c>
      <c r="M180">
        <v>40</v>
      </c>
      <c r="N180">
        <v>3</v>
      </c>
      <c r="O180">
        <f t="shared" si="23"/>
        <v>40.428571428571431</v>
      </c>
      <c r="P180">
        <v>0</v>
      </c>
      <c r="Q180">
        <v>0</v>
      </c>
      <c r="R180">
        <v>0</v>
      </c>
      <c r="T180">
        <v>3</v>
      </c>
      <c r="U180">
        <v>0</v>
      </c>
      <c r="V180">
        <v>3490</v>
      </c>
      <c r="W180">
        <v>9</v>
      </c>
      <c r="X180">
        <v>0</v>
      </c>
      <c r="Y180">
        <v>0</v>
      </c>
      <c r="AA180">
        <f t="shared" si="24"/>
        <v>1</v>
      </c>
      <c r="AB180" t="str">
        <f t="shared" si="25"/>
        <v>0</v>
      </c>
      <c r="AC180">
        <f t="shared" si="26"/>
        <v>0</v>
      </c>
      <c r="AD180">
        <f t="shared" si="27"/>
        <v>0</v>
      </c>
      <c r="AE180">
        <f t="shared" si="28"/>
        <v>0</v>
      </c>
      <c r="AF180">
        <f t="shared" si="29"/>
        <v>0</v>
      </c>
    </row>
    <row r="181" spans="1:32" x14ac:dyDescent="0.3">
      <c r="A181">
        <v>23</v>
      </c>
      <c r="B181">
        <v>42</v>
      </c>
      <c r="C181">
        <v>151</v>
      </c>
      <c r="D181">
        <f t="shared" si="20"/>
        <v>18.420244726108503</v>
      </c>
      <c r="E181">
        <f t="shared" si="21"/>
        <v>0</v>
      </c>
      <c r="F181">
        <v>53.1</v>
      </c>
      <c r="G181">
        <f t="shared" si="22"/>
        <v>11.100000000000001</v>
      </c>
      <c r="H181">
        <v>0</v>
      </c>
      <c r="J181">
        <v>0</v>
      </c>
      <c r="K181">
        <v>0</v>
      </c>
      <c r="L181">
        <v>0</v>
      </c>
      <c r="M181">
        <v>38</v>
      </c>
      <c r="N181">
        <v>2</v>
      </c>
      <c r="O181">
        <f t="shared" si="23"/>
        <v>38.285714285714285</v>
      </c>
      <c r="P181">
        <v>0</v>
      </c>
      <c r="Q181">
        <v>0</v>
      </c>
      <c r="R181">
        <v>0</v>
      </c>
      <c r="T181">
        <v>0</v>
      </c>
      <c r="U181">
        <v>0</v>
      </c>
      <c r="V181">
        <v>2750</v>
      </c>
      <c r="W181">
        <v>6</v>
      </c>
      <c r="X181">
        <v>1</v>
      </c>
      <c r="Y181">
        <v>0</v>
      </c>
      <c r="AA181">
        <f t="shared" si="24"/>
        <v>0</v>
      </c>
      <c r="AB181" t="str">
        <f t="shared" si="25"/>
        <v>0</v>
      </c>
      <c r="AC181">
        <f t="shared" si="26"/>
        <v>0</v>
      </c>
      <c r="AD181">
        <f t="shared" si="27"/>
        <v>1</v>
      </c>
      <c r="AE181">
        <f t="shared" si="28"/>
        <v>0</v>
      </c>
      <c r="AF181">
        <f t="shared" si="29"/>
        <v>0</v>
      </c>
    </row>
    <row r="182" spans="1:32" x14ac:dyDescent="0.3">
      <c r="A182">
        <v>29</v>
      </c>
      <c r="B182">
        <v>66.7</v>
      </c>
      <c r="C182">
        <v>165</v>
      </c>
      <c r="D182">
        <f t="shared" si="20"/>
        <v>24.499540863177231</v>
      </c>
      <c r="E182">
        <f t="shared" si="21"/>
        <v>2</v>
      </c>
      <c r="F182">
        <v>80</v>
      </c>
      <c r="G182">
        <f t="shared" si="22"/>
        <v>13.299999999999997</v>
      </c>
      <c r="H182">
        <v>0</v>
      </c>
      <c r="J182">
        <v>0</v>
      </c>
      <c r="K182">
        <v>0</v>
      </c>
      <c r="L182">
        <v>1</v>
      </c>
      <c r="M182">
        <v>41</v>
      </c>
      <c r="N182">
        <v>0</v>
      </c>
      <c r="O182">
        <f t="shared" si="23"/>
        <v>41</v>
      </c>
      <c r="P182">
        <v>0</v>
      </c>
      <c r="Q182">
        <v>0</v>
      </c>
      <c r="R182">
        <v>0</v>
      </c>
      <c r="T182">
        <v>0</v>
      </c>
      <c r="U182">
        <v>0</v>
      </c>
      <c r="V182">
        <v>3430</v>
      </c>
      <c r="W182">
        <v>9</v>
      </c>
      <c r="X182">
        <v>1</v>
      </c>
      <c r="Y182">
        <v>0</v>
      </c>
      <c r="AA182">
        <f t="shared" si="24"/>
        <v>1</v>
      </c>
      <c r="AB182" t="str">
        <f t="shared" si="25"/>
        <v>0</v>
      </c>
      <c r="AC182">
        <f t="shared" si="26"/>
        <v>0</v>
      </c>
      <c r="AD182">
        <f t="shared" si="27"/>
        <v>0</v>
      </c>
      <c r="AE182">
        <f t="shared" si="28"/>
        <v>0</v>
      </c>
      <c r="AF182">
        <f t="shared" si="29"/>
        <v>0</v>
      </c>
    </row>
    <row r="183" spans="1:32" x14ac:dyDescent="0.3">
      <c r="A183">
        <v>42</v>
      </c>
      <c r="B183">
        <v>47</v>
      </c>
      <c r="C183">
        <v>158</v>
      </c>
      <c r="D183">
        <f t="shared" si="20"/>
        <v>18.827111039897449</v>
      </c>
      <c r="E183">
        <f t="shared" si="21"/>
        <v>1</v>
      </c>
      <c r="F183">
        <v>60</v>
      </c>
      <c r="G183">
        <f t="shared" si="22"/>
        <v>13</v>
      </c>
      <c r="H183">
        <v>0</v>
      </c>
      <c r="J183">
        <v>0</v>
      </c>
      <c r="K183">
        <v>0</v>
      </c>
      <c r="L183">
        <v>0</v>
      </c>
      <c r="M183">
        <v>40</v>
      </c>
      <c r="N183">
        <v>5</v>
      </c>
      <c r="O183">
        <f t="shared" si="23"/>
        <v>40.714285714285715</v>
      </c>
      <c r="P183">
        <v>0</v>
      </c>
      <c r="Q183">
        <v>0</v>
      </c>
      <c r="R183">
        <v>0</v>
      </c>
      <c r="T183">
        <v>0</v>
      </c>
      <c r="U183">
        <v>0</v>
      </c>
      <c r="V183">
        <v>3490</v>
      </c>
      <c r="W183">
        <v>8</v>
      </c>
      <c r="X183">
        <v>0</v>
      </c>
      <c r="Y183">
        <v>0</v>
      </c>
      <c r="AA183">
        <f t="shared" si="24"/>
        <v>0</v>
      </c>
      <c r="AB183" t="str">
        <f t="shared" si="25"/>
        <v>0</v>
      </c>
      <c r="AC183">
        <f t="shared" si="26"/>
        <v>0</v>
      </c>
      <c r="AD183">
        <f t="shared" si="27"/>
        <v>0</v>
      </c>
      <c r="AE183">
        <f t="shared" si="28"/>
        <v>0</v>
      </c>
      <c r="AF183">
        <f t="shared" si="29"/>
        <v>0</v>
      </c>
    </row>
    <row r="184" spans="1:32" x14ac:dyDescent="0.3">
      <c r="A184">
        <v>35</v>
      </c>
      <c r="B184">
        <v>54</v>
      </c>
      <c r="C184">
        <v>159</v>
      </c>
      <c r="D184">
        <f t="shared" si="20"/>
        <v>21.359914560341757</v>
      </c>
      <c r="E184">
        <f t="shared" si="21"/>
        <v>1</v>
      </c>
      <c r="F184">
        <v>65</v>
      </c>
      <c r="G184">
        <f t="shared" si="22"/>
        <v>11</v>
      </c>
      <c r="H184">
        <v>0</v>
      </c>
      <c r="J184">
        <v>0</v>
      </c>
      <c r="K184">
        <v>1</v>
      </c>
      <c r="L184">
        <v>3</v>
      </c>
      <c r="M184">
        <v>38</v>
      </c>
      <c r="N184">
        <v>4</v>
      </c>
      <c r="O184">
        <f t="shared" si="23"/>
        <v>38.571428571428569</v>
      </c>
      <c r="P184">
        <v>0</v>
      </c>
      <c r="Q184">
        <v>0</v>
      </c>
      <c r="R184">
        <v>3</v>
      </c>
      <c r="S184" t="s">
        <v>34</v>
      </c>
      <c r="T184">
        <v>0</v>
      </c>
      <c r="U184">
        <v>0</v>
      </c>
      <c r="V184">
        <v>2750</v>
      </c>
      <c r="W184">
        <v>8</v>
      </c>
      <c r="X184">
        <v>1</v>
      </c>
      <c r="Y184">
        <v>0</v>
      </c>
      <c r="AA184">
        <f t="shared" si="24"/>
        <v>0</v>
      </c>
      <c r="AB184" t="str">
        <f t="shared" si="25"/>
        <v>0</v>
      </c>
      <c r="AC184">
        <f t="shared" si="26"/>
        <v>0</v>
      </c>
      <c r="AD184">
        <f t="shared" si="27"/>
        <v>0</v>
      </c>
      <c r="AE184">
        <f t="shared" si="28"/>
        <v>1</v>
      </c>
      <c r="AF184">
        <f t="shared" si="29"/>
        <v>0</v>
      </c>
    </row>
    <row r="185" spans="1:32" x14ac:dyDescent="0.3">
      <c r="A185">
        <v>29</v>
      </c>
      <c r="B185">
        <v>55</v>
      </c>
      <c r="C185">
        <v>163</v>
      </c>
      <c r="D185">
        <f t="shared" si="20"/>
        <v>20.700816741315069</v>
      </c>
      <c r="E185">
        <f t="shared" si="21"/>
        <v>1</v>
      </c>
      <c r="F185">
        <v>65</v>
      </c>
      <c r="G185">
        <f t="shared" si="22"/>
        <v>10</v>
      </c>
      <c r="H185">
        <v>0</v>
      </c>
      <c r="J185">
        <v>0</v>
      </c>
      <c r="K185">
        <v>0</v>
      </c>
      <c r="L185">
        <v>0</v>
      </c>
      <c r="M185">
        <v>39</v>
      </c>
      <c r="N185">
        <v>1</v>
      </c>
      <c r="O185">
        <f t="shared" si="23"/>
        <v>39.142857142857146</v>
      </c>
      <c r="P185">
        <v>0</v>
      </c>
      <c r="Q185">
        <v>0</v>
      </c>
      <c r="R185">
        <v>0</v>
      </c>
      <c r="T185">
        <v>3</v>
      </c>
      <c r="U185">
        <v>0</v>
      </c>
      <c r="V185">
        <v>3280</v>
      </c>
      <c r="W185">
        <v>9</v>
      </c>
      <c r="X185">
        <v>1</v>
      </c>
      <c r="Y185">
        <v>0</v>
      </c>
      <c r="AA185">
        <f t="shared" si="24"/>
        <v>0</v>
      </c>
      <c r="AB185" t="str">
        <f t="shared" si="25"/>
        <v>0</v>
      </c>
      <c r="AC185">
        <f t="shared" si="26"/>
        <v>0</v>
      </c>
      <c r="AD185">
        <f t="shared" si="27"/>
        <v>0</v>
      </c>
      <c r="AE185">
        <f t="shared" si="28"/>
        <v>0</v>
      </c>
      <c r="AF185">
        <f t="shared" si="29"/>
        <v>0</v>
      </c>
    </row>
    <row r="186" spans="1:32" x14ac:dyDescent="0.3">
      <c r="A186">
        <v>32</v>
      </c>
      <c r="B186">
        <v>81</v>
      </c>
      <c r="C186">
        <v>165</v>
      </c>
      <c r="D186">
        <f t="shared" si="20"/>
        <v>29.752066115702483</v>
      </c>
      <c r="E186">
        <f t="shared" si="21"/>
        <v>3</v>
      </c>
      <c r="F186">
        <v>97</v>
      </c>
      <c r="G186">
        <f t="shared" si="22"/>
        <v>16</v>
      </c>
      <c r="H186">
        <v>1</v>
      </c>
      <c r="I186" t="s">
        <v>32</v>
      </c>
      <c r="J186">
        <v>0</v>
      </c>
      <c r="K186">
        <v>0</v>
      </c>
      <c r="L186">
        <v>2</v>
      </c>
      <c r="M186">
        <v>39</v>
      </c>
      <c r="N186">
        <v>0</v>
      </c>
      <c r="O186">
        <f t="shared" si="23"/>
        <v>39</v>
      </c>
      <c r="P186">
        <v>0</v>
      </c>
      <c r="Q186">
        <v>0</v>
      </c>
      <c r="R186">
        <v>3</v>
      </c>
      <c r="S186" t="s">
        <v>35</v>
      </c>
      <c r="T186">
        <v>0</v>
      </c>
      <c r="U186">
        <v>0</v>
      </c>
      <c r="V186">
        <v>3610</v>
      </c>
      <c r="W186">
        <v>9</v>
      </c>
      <c r="X186">
        <v>1</v>
      </c>
      <c r="Y186">
        <v>0</v>
      </c>
      <c r="AA186">
        <f t="shared" si="24"/>
        <v>1</v>
      </c>
      <c r="AB186" t="str">
        <f t="shared" si="25"/>
        <v>0</v>
      </c>
      <c r="AC186">
        <f t="shared" si="26"/>
        <v>0</v>
      </c>
      <c r="AD186">
        <f t="shared" si="27"/>
        <v>0</v>
      </c>
      <c r="AE186">
        <f t="shared" si="28"/>
        <v>1</v>
      </c>
      <c r="AF186">
        <f t="shared" si="29"/>
        <v>0</v>
      </c>
    </row>
    <row r="187" spans="1:32" x14ac:dyDescent="0.3">
      <c r="A187">
        <v>30</v>
      </c>
      <c r="B187">
        <v>39</v>
      </c>
      <c r="C187">
        <v>150</v>
      </c>
      <c r="D187">
        <f t="shared" si="20"/>
        <v>17.333333333333332</v>
      </c>
      <c r="E187">
        <f t="shared" si="21"/>
        <v>0</v>
      </c>
      <c r="F187">
        <v>46</v>
      </c>
      <c r="G187">
        <f t="shared" si="22"/>
        <v>7</v>
      </c>
      <c r="H187">
        <v>0</v>
      </c>
      <c r="J187">
        <v>0</v>
      </c>
      <c r="K187">
        <v>0</v>
      </c>
      <c r="L187">
        <v>0</v>
      </c>
      <c r="M187">
        <v>37</v>
      </c>
      <c r="N187">
        <v>2</v>
      </c>
      <c r="O187">
        <f t="shared" si="23"/>
        <v>37.285714285714285</v>
      </c>
      <c r="P187">
        <v>0</v>
      </c>
      <c r="Q187">
        <v>0</v>
      </c>
      <c r="R187">
        <v>0</v>
      </c>
      <c r="T187">
        <v>0</v>
      </c>
      <c r="U187">
        <v>0</v>
      </c>
      <c r="V187">
        <v>2560</v>
      </c>
      <c r="W187">
        <v>9</v>
      </c>
      <c r="X187">
        <v>0</v>
      </c>
      <c r="Y187">
        <v>0</v>
      </c>
      <c r="AA187">
        <f t="shared" si="24"/>
        <v>0</v>
      </c>
      <c r="AB187" t="str">
        <f t="shared" si="25"/>
        <v>0</v>
      </c>
      <c r="AC187">
        <f t="shared" si="26"/>
        <v>0</v>
      </c>
      <c r="AD187">
        <f t="shared" si="27"/>
        <v>0</v>
      </c>
      <c r="AE187">
        <f t="shared" si="28"/>
        <v>0</v>
      </c>
      <c r="AF187">
        <f t="shared" si="29"/>
        <v>0</v>
      </c>
    </row>
    <row r="188" spans="1:32" x14ac:dyDescent="0.3">
      <c r="A188">
        <v>20</v>
      </c>
      <c r="B188">
        <v>57</v>
      </c>
      <c r="C188">
        <v>155</v>
      </c>
      <c r="D188">
        <f t="shared" si="20"/>
        <v>23.725286160249738</v>
      </c>
      <c r="E188">
        <f t="shared" si="21"/>
        <v>2</v>
      </c>
      <c r="F188">
        <v>72</v>
      </c>
      <c r="G188">
        <f t="shared" si="22"/>
        <v>15</v>
      </c>
      <c r="H188">
        <v>0</v>
      </c>
      <c r="J188">
        <v>0</v>
      </c>
      <c r="K188">
        <v>0</v>
      </c>
      <c r="L188">
        <v>0</v>
      </c>
      <c r="M188">
        <v>40</v>
      </c>
      <c r="N188">
        <v>6</v>
      </c>
      <c r="O188">
        <f t="shared" si="23"/>
        <v>40.857142857142854</v>
      </c>
      <c r="P188">
        <v>0</v>
      </c>
      <c r="Q188">
        <v>0</v>
      </c>
      <c r="R188">
        <v>0</v>
      </c>
      <c r="T188">
        <v>0</v>
      </c>
      <c r="U188">
        <v>0</v>
      </c>
      <c r="V188">
        <v>3590</v>
      </c>
      <c r="W188">
        <v>9</v>
      </c>
      <c r="X188">
        <v>1</v>
      </c>
      <c r="Y188">
        <v>1</v>
      </c>
      <c r="Z188" t="s">
        <v>38</v>
      </c>
      <c r="AA188">
        <f t="shared" si="24"/>
        <v>1</v>
      </c>
      <c r="AB188" t="str">
        <f t="shared" si="25"/>
        <v>0</v>
      </c>
      <c r="AC188">
        <f t="shared" si="26"/>
        <v>0</v>
      </c>
      <c r="AD188">
        <f t="shared" si="27"/>
        <v>0</v>
      </c>
      <c r="AE188">
        <f t="shared" si="28"/>
        <v>0</v>
      </c>
      <c r="AF188">
        <f t="shared" si="29"/>
        <v>0</v>
      </c>
    </row>
    <row r="189" spans="1:32" x14ac:dyDescent="0.3">
      <c r="A189">
        <v>22</v>
      </c>
      <c r="B189">
        <v>39</v>
      </c>
      <c r="C189">
        <v>160</v>
      </c>
      <c r="D189">
        <f t="shared" si="20"/>
        <v>15.234374999999996</v>
      </c>
      <c r="E189">
        <f t="shared" si="21"/>
        <v>0</v>
      </c>
      <c r="F189">
        <v>54</v>
      </c>
      <c r="G189">
        <f t="shared" si="22"/>
        <v>15</v>
      </c>
      <c r="H189">
        <v>0</v>
      </c>
      <c r="J189">
        <v>0</v>
      </c>
      <c r="K189">
        <v>0</v>
      </c>
      <c r="L189">
        <v>1</v>
      </c>
      <c r="M189">
        <v>38</v>
      </c>
      <c r="N189">
        <v>0</v>
      </c>
      <c r="O189">
        <f t="shared" si="23"/>
        <v>38</v>
      </c>
      <c r="P189">
        <v>0</v>
      </c>
      <c r="Q189">
        <v>0</v>
      </c>
      <c r="R189">
        <v>0</v>
      </c>
      <c r="T189">
        <v>0</v>
      </c>
      <c r="U189">
        <v>0</v>
      </c>
      <c r="V189">
        <v>2700</v>
      </c>
      <c r="W189">
        <v>10</v>
      </c>
      <c r="X189">
        <v>0</v>
      </c>
      <c r="Y189">
        <v>0</v>
      </c>
      <c r="AA189">
        <f t="shared" si="24"/>
        <v>0</v>
      </c>
      <c r="AB189" t="str">
        <f t="shared" si="25"/>
        <v>0</v>
      </c>
      <c r="AC189">
        <f t="shared" si="26"/>
        <v>0</v>
      </c>
      <c r="AD189">
        <f t="shared" si="27"/>
        <v>0</v>
      </c>
      <c r="AE189">
        <f t="shared" si="28"/>
        <v>0</v>
      </c>
      <c r="AF189">
        <f t="shared" si="29"/>
        <v>0</v>
      </c>
    </row>
    <row r="190" spans="1:32" x14ac:dyDescent="0.3">
      <c r="A190">
        <v>35</v>
      </c>
      <c r="B190">
        <v>53</v>
      </c>
      <c r="C190">
        <v>153</v>
      </c>
      <c r="D190">
        <f t="shared" si="20"/>
        <v>22.64086462471699</v>
      </c>
      <c r="E190">
        <f t="shared" si="21"/>
        <v>1</v>
      </c>
      <c r="F190">
        <v>64</v>
      </c>
      <c r="G190">
        <f t="shared" si="22"/>
        <v>11</v>
      </c>
      <c r="H190">
        <v>0</v>
      </c>
      <c r="J190">
        <v>0</v>
      </c>
      <c r="K190">
        <v>1</v>
      </c>
      <c r="L190">
        <v>1</v>
      </c>
      <c r="M190">
        <v>38</v>
      </c>
      <c r="N190">
        <v>2</v>
      </c>
      <c r="O190">
        <f t="shared" si="23"/>
        <v>38.285714285714285</v>
      </c>
      <c r="P190">
        <v>1</v>
      </c>
      <c r="Q190">
        <v>0</v>
      </c>
      <c r="R190">
        <v>3</v>
      </c>
      <c r="S190" t="s">
        <v>34</v>
      </c>
      <c r="T190">
        <v>0</v>
      </c>
      <c r="U190">
        <v>0</v>
      </c>
      <c r="V190">
        <v>2730</v>
      </c>
      <c r="W190">
        <v>8</v>
      </c>
      <c r="X190">
        <v>1</v>
      </c>
      <c r="Y190">
        <v>0</v>
      </c>
      <c r="AA190">
        <f t="shared" si="24"/>
        <v>0</v>
      </c>
      <c r="AB190" t="str">
        <f t="shared" si="25"/>
        <v>0</v>
      </c>
      <c r="AC190">
        <f t="shared" si="26"/>
        <v>0</v>
      </c>
      <c r="AD190">
        <f t="shared" si="27"/>
        <v>0</v>
      </c>
      <c r="AE190">
        <f t="shared" si="28"/>
        <v>1</v>
      </c>
      <c r="AF190">
        <f t="shared" si="29"/>
        <v>0</v>
      </c>
    </row>
    <row r="191" spans="1:32" x14ac:dyDescent="0.3">
      <c r="A191">
        <v>31</v>
      </c>
      <c r="B191">
        <v>61</v>
      </c>
      <c r="C191">
        <v>160</v>
      </c>
      <c r="D191">
        <f t="shared" si="20"/>
        <v>23.828124999999996</v>
      </c>
      <c r="E191">
        <f t="shared" si="21"/>
        <v>2</v>
      </c>
      <c r="F191">
        <v>71</v>
      </c>
      <c r="G191">
        <f t="shared" si="22"/>
        <v>10</v>
      </c>
      <c r="H191">
        <v>0</v>
      </c>
      <c r="J191">
        <v>0</v>
      </c>
      <c r="K191">
        <v>0</v>
      </c>
      <c r="L191">
        <v>1</v>
      </c>
      <c r="M191">
        <v>38</v>
      </c>
      <c r="N191">
        <v>3</v>
      </c>
      <c r="O191">
        <f t="shared" si="23"/>
        <v>38.428571428571431</v>
      </c>
      <c r="P191">
        <v>1</v>
      </c>
      <c r="Q191">
        <v>0</v>
      </c>
      <c r="R191">
        <v>0</v>
      </c>
      <c r="T191">
        <v>1</v>
      </c>
      <c r="U191">
        <v>0</v>
      </c>
      <c r="V191">
        <v>2940</v>
      </c>
      <c r="W191">
        <v>9</v>
      </c>
      <c r="X191">
        <v>1</v>
      </c>
      <c r="Y191">
        <v>0</v>
      </c>
      <c r="AA191">
        <f t="shared" si="24"/>
        <v>0</v>
      </c>
      <c r="AB191" t="str">
        <f t="shared" si="25"/>
        <v>0</v>
      </c>
      <c r="AC191">
        <f t="shared" si="26"/>
        <v>0</v>
      </c>
      <c r="AD191">
        <f t="shared" si="27"/>
        <v>0</v>
      </c>
      <c r="AE191">
        <f t="shared" si="28"/>
        <v>0</v>
      </c>
      <c r="AF191">
        <f t="shared" si="29"/>
        <v>0</v>
      </c>
    </row>
    <row r="192" spans="1:32" x14ac:dyDescent="0.3">
      <c r="A192">
        <v>38</v>
      </c>
      <c r="B192">
        <v>61</v>
      </c>
      <c r="C192">
        <v>154</v>
      </c>
      <c r="D192">
        <f t="shared" si="20"/>
        <v>25.72103221453871</v>
      </c>
      <c r="E192">
        <f t="shared" si="21"/>
        <v>3</v>
      </c>
      <c r="F192">
        <v>77</v>
      </c>
      <c r="G192">
        <f t="shared" si="22"/>
        <v>16</v>
      </c>
      <c r="H192">
        <v>1</v>
      </c>
      <c r="I192" t="s">
        <v>32</v>
      </c>
      <c r="J192">
        <v>0</v>
      </c>
      <c r="K192">
        <v>0</v>
      </c>
      <c r="L192">
        <v>0</v>
      </c>
      <c r="M192">
        <v>38</v>
      </c>
      <c r="N192">
        <v>6</v>
      </c>
      <c r="O192">
        <f t="shared" si="23"/>
        <v>38.857142857142854</v>
      </c>
      <c r="P192">
        <v>0</v>
      </c>
      <c r="Q192">
        <v>0</v>
      </c>
      <c r="R192">
        <v>0</v>
      </c>
      <c r="T192">
        <v>0</v>
      </c>
      <c r="U192">
        <v>0</v>
      </c>
      <c r="V192">
        <v>3360</v>
      </c>
      <c r="W192">
        <v>8</v>
      </c>
      <c r="X192">
        <v>0</v>
      </c>
      <c r="Y192">
        <v>0</v>
      </c>
      <c r="AA192">
        <f t="shared" si="24"/>
        <v>1</v>
      </c>
      <c r="AB192" t="str">
        <f t="shared" si="25"/>
        <v>0</v>
      </c>
      <c r="AC192">
        <f t="shared" si="26"/>
        <v>0</v>
      </c>
      <c r="AD192">
        <f t="shared" si="27"/>
        <v>0</v>
      </c>
      <c r="AE192">
        <f t="shared" si="28"/>
        <v>0</v>
      </c>
      <c r="AF192">
        <f t="shared" si="29"/>
        <v>0</v>
      </c>
    </row>
    <row r="193" spans="1:32" x14ac:dyDescent="0.3">
      <c r="A193">
        <v>26</v>
      </c>
      <c r="B193">
        <v>58</v>
      </c>
      <c r="C193">
        <v>169</v>
      </c>
      <c r="D193">
        <f t="shared" si="20"/>
        <v>20.307412205454995</v>
      </c>
      <c r="E193">
        <f t="shared" si="21"/>
        <v>1</v>
      </c>
      <c r="F193">
        <v>76</v>
      </c>
      <c r="G193">
        <f t="shared" si="22"/>
        <v>18</v>
      </c>
      <c r="H193">
        <v>0</v>
      </c>
      <c r="J193">
        <v>0</v>
      </c>
      <c r="K193">
        <v>0</v>
      </c>
      <c r="L193">
        <v>0</v>
      </c>
      <c r="M193">
        <v>39</v>
      </c>
      <c r="N193">
        <v>6</v>
      </c>
      <c r="O193">
        <f t="shared" si="23"/>
        <v>39.857142857142854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3270</v>
      </c>
      <c r="W193">
        <v>9</v>
      </c>
      <c r="X193">
        <v>1</v>
      </c>
      <c r="Y193">
        <v>0</v>
      </c>
      <c r="AA193">
        <f t="shared" si="24"/>
        <v>1</v>
      </c>
      <c r="AB193" t="str">
        <f t="shared" si="25"/>
        <v>0</v>
      </c>
      <c r="AC193">
        <f t="shared" si="26"/>
        <v>0</v>
      </c>
      <c r="AD193">
        <f t="shared" si="27"/>
        <v>0</v>
      </c>
      <c r="AE193">
        <f t="shared" si="28"/>
        <v>0</v>
      </c>
      <c r="AF193">
        <f t="shared" si="29"/>
        <v>0</v>
      </c>
    </row>
    <row r="194" spans="1:32" x14ac:dyDescent="0.3">
      <c r="A194">
        <v>31</v>
      </c>
      <c r="B194">
        <v>65</v>
      </c>
      <c r="C194">
        <v>163</v>
      </c>
      <c r="D194">
        <f t="shared" si="20"/>
        <v>24.464601603372351</v>
      </c>
      <c r="E194">
        <f t="shared" si="21"/>
        <v>2</v>
      </c>
      <c r="F194">
        <v>80</v>
      </c>
      <c r="G194">
        <f t="shared" si="22"/>
        <v>15</v>
      </c>
      <c r="H194">
        <v>1</v>
      </c>
      <c r="I194" t="s">
        <v>52</v>
      </c>
      <c r="J194">
        <v>0</v>
      </c>
      <c r="K194">
        <v>1</v>
      </c>
      <c r="L194">
        <v>2</v>
      </c>
      <c r="M194">
        <v>38</v>
      </c>
      <c r="N194">
        <v>6</v>
      </c>
      <c r="O194">
        <f t="shared" si="23"/>
        <v>38.857142857142854</v>
      </c>
      <c r="P194">
        <v>0</v>
      </c>
      <c r="Q194">
        <v>0</v>
      </c>
      <c r="R194">
        <v>3</v>
      </c>
      <c r="S194" t="s">
        <v>34</v>
      </c>
      <c r="T194">
        <v>0</v>
      </c>
      <c r="U194">
        <v>0</v>
      </c>
      <c r="V194">
        <v>2970</v>
      </c>
      <c r="W194">
        <v>8</v>
      </c>
      <c r="X194">
        <v>1</v>
      </c>
      <c r="Y194">
        <v>0</v>
      </c>
      <c r="AA194">
        <f t="shared" si="24"/>
        <v>1</v>
      </c>
      <c r="AB194" t="str">
        <f t="shared" si="25"/>
        <v>0</v>
      </c>
      <c r="AC194">
        <f t="shared" si="26"/>
        <v>0</v>
      </c>
      <c r="AD194">
        <f t="shared" si="27"/>
        <v>0</v>
      </c>
      <c r="AE194">
        <f t="shared" si="28"/>
        <v>1</v>
      </c>
      <c r="AF194">
        <f t="shared" si="29"/>
        <v>0</v>
      </c>
    </row>
    <row r="195" spans="1:32" x14ac:dyDescent="0.3">
      <c r="A195">
        <v>27</v>
      </c>
      <c r="B195">
        <v>56</v>
      </c>
      <c r="C195">
        <v>156</v>
      </c>
      <c r="D195">
        <f t="shared" si="20"/>
        <v>23.011176857330703</v>
      </c>
      <c r="E195">
        <f t="shared" si="21"/>
        <v>2</v>
      </c>
      <c r="F195">
        <v>66</v>
      </c>
      <c r="G195">
        <f t="shared" si="22"/>
        <v>10</v>
      </c>
      <c r="H195">
        <v>0</v>
      </c>
      <c r="J195">
        <v>0</v>
      </c>
      <c r="K195">
        <v>0</v>
      </c>
      <c r="L195">
        <v>2</v>
      </c>
      <c r="M195">
        <v>38</v>
      </c>
      <c r="N195">
        <v>3</v>
      </c>
      <c r="O195">
        <f t="shared" si="23"/>
        <v>38.428571428571431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3510</v>
      </c>
      <c r="W195">
        <v>9</v>
      </c>
      <c r="X195">
        <v>0</v>
      </c>
      <c r="Y195">
        <v>0</v>
      </c>
      <c r="AA195">
        <f t="shared" si="24"/>
        <v>0</v>
      </c>
      <c r="AB195" t="str">
        <f t="shared" si="25"/>
        <v>0</v>
      </c>
      <c r="AC195">
        <f t="shared" si="26"/>
        <v>0</v>
      </c>
      <c r="AD195">
        <f t="shared" si="27"/>
        <v>0</v>
      </c>
      <c r="AE195">
        <f t="shared" si="28"/>
        <v>0</v>
      </c>
      <c r="AF195">
        <f t="shared" si="29"/>
        <v>0</v>
      </c>
    </row>
    <row r="196" spans="1:32" x14ac:dyDescent="0.3">
      <c r="A196">
        <v>27</v>
      </c>
      <c r="B196">
        <v>41</v>
      </c>
      <c r="C196">
        <v>146</v>
      </c>
      <c r="D196">
        <f t="shared" ref="D196:D259" si="30">B196/((C196/100)^2)</f>
        <v>19.234377932069808</v>
      </c>
      <c r="E196">
        <f t="shared" ref="E196:E259" si="31">IF(D196&lt;18.5,0,IF(D196&lt;23,1,IF(D196&lt;25,2,3)))</f>
        <v>1</v>
      </c>
      <c r="F196">
        <v>53</v>
      </c>
      <c r="G196">
        <f t="shared" ref="G196:G259" si="32">F196-B196</f>
        <v>12</v>
      </c>
      <c r="H196">
        <v>0</v>
      </c>
      <c r="J196">
        <v>0</v>
      </c>
      <c r="K196">
        <v>1</v>
      </c>
      <c r="L196">
        <v>2</v>
      </c>
      <c r="M196">
        <v>38</v>
      </c>
      <c r="N196">
        <v>6</v>
      </c>
      <c r="O196">
        <f t="shared" ref="O196:O259" si="33">M196+(N196/7)</f>
        <v>38.857142857142854</v>
      </c>
      <c r="P196">
        <v>0</v>
      </c>
      <c r="Q196">
        <v>0</v>
      </c>
      <c r="R196">
        <v>3</v>
      </c>
      <c r="S196" t="s">
        <v>34</v>
      </c>
      <c r="T196">
        <v>0</v>
      </c>
      <c r="U196">
        <v>0</v>
      </c>
      <c r="V196">
        <v>3120</v>
      </c>
      <c r="W196">
        <v>8</v>
      </c>
      <c r="X196">
        <v>1</v>
      </c>
      <c r="Y196">
        <v>0</v>
      </c>
      <c r="AA196">
        <f t="shared" ref="AA196:AA259" si="34">IF(OR(AND(E196=0,G196&gt;18.2),AND(E196=1,G196&gt;15.9),AND(E196=2,G196&gt;11.3),AND(E196=3,G196&gt;9.1)),1,0)</f>
        <v>0</v>
      </c>
      <c r="AB196" t="str">
        <f t="shared" ref="AB196:AB259" si="35">IF(OR(AND(O196&lt;38,V196&gt;3324),AND(O196&lt;39,V196&gt;3540),AND(O196&lt;40,V196&gt;3726),AND(O196&lt;42,V196&gt;3871)),"2",IF(OR(AND(O196&gt;36.9,V196&lt;2323),AND(O196&gt;37.9,V196&lt;2496),AND(O196&gt;38.9,V196&lt;2658),AND(O196&gt;39.9,V196&lt;2805)),"1","0"))</f>
        <v>0</v>
      </c>
      <c r="AC196">
        <f t="shared" ref="AC196:AC259" si="36">IF(V196&lt;4000,0,1)</f>
        <v>0</v>
      </c>
      <c r="AD196">
        <f t="shared" ref="AD196:AD259" si="37">IF(W196&gt;7,0,1)</f>
        <v>0</v>
      </c>
      <c r="AE196">
        <f t="shared" ref="AE196:AE259" si="38">IF(R196=3,1,0)</f>
        <v>1</v>
      </c>
      <c r="AF196">
        <f t="shared" ref="AF196:AF259" si="39">IF(X196=2,1,0)</f>
        <v>0</v>
      </c>
    </row>
    <row r="197" spans="1:32" x14ac:dyDescent="0.3">
      <c r="A197">
        <v>27</v>
      </c>
      <c r="B197">
        <v>48</v>
      </c>
      <c r="C197">
        <v>160</v>
      </c>
      <c r="D197">
        <f t="shared" si="30"/>
        <v>18.749999999999996</v>
      </c>
      <c r="E197">
        <f t="shared" si="31"/>
        <v>1</v>
      </c>
      <c r="F197">
        <v>66.2</v>
      </c>
      <c r="G197">
        <f t="shared" si="32"/>
        <v>18.200000000000003</v>
      </c>
      <c r="H197">
        <v>0</v>
      </c>
      <c r="J197">
        <v>0</v>
      </c>
      <c r="K197">
        <v>0</v>
      </c>
      <c r="L197">
        <v>0</v>
      </c>
      <c r="M197">
        <v>38</v>
      </c>
      <c r="N197">
        <v>5</v>
      </c>
      <c r="O197">
        <f t="shared" si="33"/>
        <v>38.714285714285715</v>
      </c>
      <c r="P197">
        <v>1</v>
      </c>
      <c r="Q197">
        <v>0</v>
      </c>
      <c r="R197">
        <v>3</v>
      </c>
      <c r="S197" t="s">
        <v>35</v>
      </c>
      <c r="T197">
        <v>0</v>
      </c>
      <c r="U197">
        <v>0</v>
      </c>
      <c r="V197">
        <v>2940</v>
      </c>
      <c r="W197">
        <v>9</v>
      </c>
      <c r="X197">
        <v>1</v>
      </c>
      <c r="Y197">
        <v>0</v>
      </c>
      <c r="AA197">
        <f t="shared" si="34"/>
        <v>1</v>
      </c>
      <c r="AB197" t="str">
        <f t="shared" si="35"/>
        <v>0</v>
      </c>
      <c r="AC197">
        <f t="shared" si="36"/>
        <v>0</v>
      </c>
      <c r="AD197">
        <f t="shared" si="37"/>
        <v>0</v>
      </c>
      <c r="AE197">
        <f t="shared" si="38"/>
        <v>1</v>
      </c>
      <c r="AF197">
        <f t="shared" si="39"/>
        <v>0</v>
      </c>
    </row>
    <row r="198" spans="1:32" x14ac:dyDescent="0.3">
      <c r="A198">
        <v>26</v>
      </c>
      <c r="B198">
        <v>58</v>
      </c>
      <c r="C198">
        <v>168</v>
      </c>
      <c r="D198">
        <f t="shared" si="30"/>
        <v>20.549886621315196</v>
      </c>
      <c r="E198">
        <f t="shared" si="31"/>
        <v>1</v>
      </c>
      <c r="F198">
        <v>69</v>
      </c>
      <c r="G198">
        <f t="shared" si="32"/>
        <v>11</v>
      </c>
      <c r="H198">
        <v>0</v>
      </c>
      <c r="J198">
        <v>0</v>
      </c>
      <c r="K198">
        <v>0</v>
      </c>
      <c r="L198">
        <v>0</v>
      </c>
      <c r="M198">
        <v>38</v>
      </c>
      <c r="N198">
        <v>2</v>
      </c>
      <c r="O198">
        <f t="shared" si="33"/>
        <v>38.285714285714285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3590</v>
      </c>
      <c r="W198">
        <v>9</v>
      </c>
      <c r="X198">
        <v>0</v>
      </c>
      <c r="Y198">
        <v>0</v>
      </c>
      <c r="AA198">
        <f t="shared" si="34"/>
        <v>0</v>
      </c>
      <c r="AB198" t="str">
        <f t="shared" si="35"/>
        <v>2</v>
      </c>
      <c r="AC198">
        <f t="shared" si="36"/>
        <v>0</v>
      </c>
      <c r="AD198">
        <f t="shared" si="37"/>
        <v>0</v>
      </c>
      <c r="AE198">
        <f t="shared" si="38"/>
        <v>0</v>
      </c>
      <c r="AF198">
        <f t="shared" si="39"/>
        <v>0</v>
      </c>
    </row>
    <row r="199" spans="1:32" x14ac:dyDescent="0.3">
      <c r="A199">
        <v>16</v>
      </c>
      <c r="B199">
        <v>43</v>
      </c>
      <c r="C199">
        <v>162</v>
      </c>
      <c r="D199">
        <f t="shared" si="30"/>
        <v>16.384697454656298</v>
      </c>
      <c r="E199">
        <f t="shared" si="31"/>
        <v>0</v>
      </c>
      <c r="F199">
        <v>51</v>
      </c>
      <c r="G199">
        <f t="shared" si="32"/>
        <v>8</v>
      </c>
      <c r="H199">
        <v>0</v>
      </c>
      <c r="J199">
        <v>0</v>
      </c>
      <c r="K199">
        <v>0</v>
      </c>
      <c r="L199">
        <v>0</v>
      </c>
      <c r="M199">
        <v>38</v>
      </c>
      <c r="N199">
        <v>1</v>
      </c>
      <c r="O199">
        <f t="shared" si="33"/>
        <v>38.142857142857146</v>
      </c>
      <c r="P199">
        <v>0</v>
      </c>
      <c r="Q199">
        <v>0</v>
      </c>
      <c r="R199">
        <v>0</v>
      </c>
      <c r="T199">
        <v>0</v>
      </c>
      <c r="U199">
        <v>0</v>
      </c>
      <c r="V199">
        <v>2870</v>
      </c>
      <c r="W199">
        <v>9</v>
      </c>
      <c r="X199">
        <v>1</v>
      </c>
      <c r="Y199">
        <v>0</v>
      </c>
      <c r="AA199">
        <f t="shared" si="34"/>
        <v>0</v>
      </c>
      <c r="AB199" t="str">
        <f t="shared" si="35"/>
        <v>0</v>
      </c>
      <c r="AC199">
        <f t="shared" si="36"/>
        <v>0</v>
      </c>
      <c r="AD199">
        <f t="shared" si="37"/>
        <v>0</v>
      </c>
      <c r="AE199">
        <f t="shared" si="38"/>
        <v>0</v>
      </c>
      <c r="AF199">
        <f t="shared" si="39"/>
        <v>0</v>
      </c>
    </row>
    <row r="200" spans="1:32" x14ac:dyDescent="0.3">
      <c r="A200">
        <v>39</v>
      </c>
      <c r="B200">
        <v>74</v>
      </c>
      <c r="C200">
        <v>163</v>
      </c>
      <c r="D200">
        <f t="shared" si="30"/>
        <v>27.852007979223909</v>
      </c>
      <c r="E200">
        <f t="shared" si="31"/>
        <v>3</v>
      </c>
      <c r="F200">
        <v>75</v>
      </c>
      <c r="G200">
        <f t="shared" si="32"/>
        <v>1</v>
      </c>
      <c r="H200">
        <v>1</v>
      </c>
      <c r="I200" t="s">
        <v>32</v>
      </c>
      <c r="J200">
        <v>0</v>
      </c>
      <c r="K200">
        <v>0</v>
      </c>
      <c r="L200">
        <v>2</v>
      </c>
      <c r="M200">
        <v>39</v>
      </c>
      <c r="N200">
        <v>5</v>
      </c>
      <c r="O200">
        <f t="shared" si="33"/>
        <v>39.714285714285715</v>
      </c>
      <c r="P200">
        <v>1</v>
      </c>
      <c r="Q200">
        <v>0</v>
      </c>
      <c r="R200">
        <v>3</v>
      </c>
      <c r="S200" t="s">
        <v>43</v>
      </c>
      <c r="T200">
        <v>0</v>
      </c>
      <c r="U200">
        <v>0</v>
      </c>
      <c r="V200">
        <v>3100</v>
      </c>
      <c r="W200">
        <v>8</v>
      </c>
      <c r="X200">
        <v>1</v>
      </c>
      <c r="Y200">
        <v>0</v>
      </c>
      <c r="AA200">
        <f t="shared" si="34"/>
        <v>0</v>
      </c>
      <c r="AB200" t="str">
        <f t="shared" si="35"/>
        <v>0</v>
      </c>
      <c r="AC200">
        <f t="shared" si="36"/>
        <v>0</v>
      </c>
      <c r="AD200">
        <f t="shared" si="37"/>
        <v>0</v>
      </c>
      <c r="AE200">
        <f t="shared" si="38"/>
        <v>1</v>
      </c>
      <c r="AF200">
        <f t="shared" si="39"/>
        <v>0</v>
      </c>
    </row>
    <row r="201" spans="1:32" x14ac:dyDescent="0.3">
      <c r="A201">
        <v>28</v>
      </c>
      <c r="B201">
        <v>59</v>
      </c>
      <c r="C201">
        <v>145</v>
      </c>
      <c r="D201">
        <f t="shared" si="30"/>
        <v>28.061831153388823</v>
      </c>
      <c r="E201">
        <f t="shared" si="31"/>
        <v>3</v>
      </c>
      <c r="F201">
        <v>62</v>
      </c>
      <c r="G201">
        <f t="shared" si="32"/>
        <v>3</v>
      </c>
      <c r="H201">
        <v>1</v>
      </c>
      <c r="I201" t="s">
        <v>32</v>
      </c>
      <c r="J201">
        <v>0</v>
      </c>
      <c r="K201">
        <v>0</v>
      </c>
      <c r="L201">
        <v>1</v>
      </c>
      <c r="M201">
        <v>39</v>
      </c>
      <c r="N201">
        <v>2</v>
      </c>
      <c r="O201">
        <f t="shared" si="33"/>
        <v>39.285714285714285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3040</v>
      </c>
      <c r="W201">
        <v>9</v>
      </c>
      <c r="X201">
        <v>0</v>
      </c>
      <c r="Y201">
        <v>0</v>
      </c>
      <c r="AA201">
        <f t="shared" si="34"/>
        <v>0</v>
      </c>
      <c r="AB201" t="str">
        <f t="shared" si="35"/>
        <v>0</v>
      </c>
      <c r="AC201">
        <f t="shared" si="36"/>
        <v>0</v>
      </c>
      <c r="AD201">
        <f t="shared" si="37"/>
        <v>0</v>
      </c>
      <c r="AE201">
        <f t="shared" si="38"/>
        <v>0</v>
      </c>
      <c r="AF201">
        <f t="shared" si="39"/>
        <v>0</v>
      </c>
    </row>
    <row r="202" spans="1:32" x14ac:dyDescent="0.3">
      <c r="A202">
        <v>27</v>
      </c>
      <c r="B202">
        <v>46</v>
      </c>
      <c r="C202">
        <v>163</v>
      </c>
      <c r="D202">
        <f t="shared" si="30"/>
        <v>17.313410365463511</v>
      </c>
      <c r="E202">
        <f t="shared" si="31"/>
        <v>0</v>
      </c>
      <c r="F202">
        <v>62</v>
      </c>
      <c r="G202">
        <f t="shared" si="32"/>
        <v>16</v>
      </c>
      <c r="H202">
        <v>0</v>
      </c>
      <c r="J202">
        <v>0</v>
      </c>
      <c r="K202">
        <v>0</v>
      </c>
      <c r="L202">
        <v>1</v>
      </c>
      <c r="M202">
        <v>39</v>
      </c>
      <c r="N202">
        <v>5</v>
      </c>
      <c r="O202">
        <f t="shared" si="33"/>
        <v>39.714285714285715</v>
      </c>
      <c r="P202">
        <v>0</v>
      </c>
      <c r="Q202">
        <v>0</v>
      </c>
      <c r="R202">
        <v>0</v>
      </c>
      <c r="T202">
        <v>0</v>
      </c>
      <c r="U202">
        <v>0</v>
      </c>
      <c r="V202">
        <v>3530</v>
      </c>
      <c r="W202">
        <v>9</v>
      </c>
      <c r="X202">
        <v>0</v>
      </c>
      <c r="Y202">
        <v>0</v>
      </c>
      <c r="AA202">
        <f t="shared" si="34"/>
        <v>0</v>
      </c>
      <c r="AB202" t="str">
        <f t="shared" si="35"/>
        <v>0</v>
      </c>
      <c r="AC202">
        <f t="shared" si="36"/>
        <v>0</v>
      </c>
      <c r="AD202">
        <f t="shared" si="37"/>
        <v>0</v>
      </c>
      <c r="AE202">
        <f t="shared" si="38"/>
        <v>0</v>
      </c>
      <c r="AF202">
        <f t="shared" si="39"/>
        <v>0</v>
      </c>
    </row>
    <row r="203" spans="1:32" x14ac:dyDescent="0.3">
      <c r="A203">
        <v>38</v>
      </c>
      <c r="B203">
        <v>53</v>
      </c>
      <c r="C203">
        <v>160</v>
      </c>
      <c r="D203">
        <f t="shared" si="30"/>
        <v>20.703124999999996</v>
      </c>
      <c r="E203">
        <f t="shared" si="31"/>
        <v>1</v>
      </c>
      <c r="F203">
        <v>72</v>
      </c>
      <c r="G203">
        <f t="shared" si="32"/>
        <v>19</v>
      </c>
      <c r="H203">
        <v>0</v>
      </c>
      <c r="J203">
        <v>0</v>
      </c>
      <c r="K203">
        <v>0</v>
      </c>
      <c r="L203">
        <v>1</v>
      </c>
      <c r="M203">
        <v>39</v>
      </c>
      <c r="N203">
        <v>3</v>
      </c>
      <c r="O203">
        <f t="shared" si="33"/>
        <v>39.428571428571431</v>
      </c>
      <c r="P203">
        <v>0</v>
      </c>
      <c r="Q203">
        <v>0</v>
      </c>
      <c r="R203">
        <v>0</v>
      </c>
      <c r="T203">
        <v>0</v>
      </c>
      <c r="U203">
        <v>0</v>
      </c>
      <c r="V203">
        <v>3610</v>
      </c>
      <c r="W203">
        <v>8</v>
      </c>
      <c r="X203">
        <v>0</v>
      </c>
      <c r="Y203">
        <v>0</v>
      </c>
      <c r="AA203">
        <f t="shared" si="34"/>
        <v>1</v>
      </c>
      <c r="AB203" t="str">
        <f t="shared" si="35"/>
        <v>0</v>
      </c>
      <c r="AC203">
        <f t="shared" si="36"/>
        <v>0</v>
      </c>
      <c r="AD203">
        <f t="shared" si="37"/>
        <v>0</v>
      </c>
      <c r="AE203">
        <f t="shared" si="38"/>
        <v>0</v>
      </c>
      <c r="AF203">
        <f t="shared" si="39"/>
        <v>0</v>
      </c>
    </row>
    <row r="204" spans="1:32" x14ac:dyDescent="0.3">
      <c r="A204">
        <v>34</v>
      </c>
      <c r="B204">
        <v>51.3</v>
      </c>
      <c r="C204">
        <v>143</v>
      </c>
      <c r="D204">
        <f t="shared" si="30"/>
        <v>25.086801310577535</v>
      </c>
      <c r="E204">
        <f t="shared" si="31"/>
        <v>3</v>
      </c>
      <c r="F204">
        <v>66</v>
      </c>
      <c r="G204">
        <f t="shared" si="32"/>
        <v>14.700000000000003</v>
      </c>
      <c r="H204">
        <v>1</v>
      </c>
      <c r="I204" t="s">
        <v>32</v>
      </c>
      <c r="J204">
        <v>0</v>
      </c>
      <c r="K204">
        <v>0</v>
      </c>
      <c r="L204">
        <v>3</v>
      </c>
      <c r="M204">
        <v>38</v>
      </c>
      <c r="N204">
        <v>6</v>
      </c>
      <c r="O204">
        <f t="shared" si="33"/>
        <v>38.857142857142854</v>
      </c>
      <c r="P204">
        <v>0</v>
      </c>
      <c r="Q204">
        <v>0</v>
      </c>
      <c r="R204">
        <v>0</v>
      </c>
      <c r="T204">
        <v>2</v>
      </c>
      <c r="U204">
        <v>0</v>
      </c>
      <c r="V204">
        <v>3080</v>
      </c>
      <c r="W204">
        <v>9</v>
      </c>
      <c r="X204">
        <v>0</v>
      </c>
      <c r="Y204">
        <v>0</v>
      </c>
      <c r="AA204">
        <f t="shared" si="34"/>
        <v>1</v>
      </c>
      <c r="AB204" t="str">
        <f t="shared" si="35"/>
        <v>0</v>
      </c>
      <c r="AC204">
        <f t="shared" si="36"/>
        <v>0</v>
      </c>
      <c r="AD204">
        <f t="shared" si="37"/>
        <v>0</v>
      </c>
      <c r="AE204">
        <f t="shared" si="38"/>
        <v>0</v>
      </c>
      <c r="AF204">
        <f t="shared" si="39"/>
        <v>0</v>
      </c>
    </row>
    <row r="205" spans="1:32" x14ac:dyDescent="0.3">
      <c r="A205">
        <v>25</v>
      </c>
      <c r="B205">
        <v>50</v>
      </c>
      <c r="C205">
        <v>165</v>
      </c>
      <c r="D205">
        <f t="shared" si="30"/>
        <v>18.365472910927458</v>
      </c>
      <c r="E205">
        <f t="shared" si="31"/>
        <v>0</v>
      </c>
      <c r="F205">
        <v>67</v>
      </c>
      <c r="G205">
        <f t="shared" si="32"/>
        <v>17</v>
      </c>
      <c r="H205">
        <v>0</v>
      </c>
      <c r="J205">
        <v>0</v>
      </c>
      <c r="K205">
        <v>0</v>
      </c>
      <c r="L205">
        <v>3</v>
      </c>
      <c r="M205">
        <v>41</v>
      </c>
      <c r="N205">
        <v>2</v>
      </c>
      <c r="O205">
        <f t="shared" si="33"/>
        <v>41.285714285714285</v>
      </c>
      <c r="P205">
        <v>0</v>
      </c>
      <c r="Q205">
        <v>0</v>
      </c>
      <c r="R205">
        <v>3</v>
      </c>
      <c r="S205" t="s">
        <v>35</v>
      </c>
      <c r="T205">
        <v>0</v>
      </c>
      <c r="U205">
        <v>0</v>
      </c>
      <c r="V205">
        <v>3140</v>
      </c>
      <c r="W205">
        <v>8</v>
      </c>
      <c r="X205">
        <v>1</v>
      </c>
      <c r="Y205">
        <v>0</v>
      </c>
      <c r="AA205">
        <f t="shared" si="34"/>
        <v>0</v>
      </c>
      <c r="AB205" t="str">
        <f t="shared" si="35"/>
        <v>0</v>
      </c>
      <c r="AC205">
        <f t="shared" si="36"/>
        <v>0</v>
      </c>
      <c r="AD205">
        <f t="shared" si="37"/>
        <v>0</v>
      </c>
      <c r="AE205">
        <f t="shared" si="38"/>
        <v>1</v>
      </c>
      <c r="AF205">
        <f t="shared" si="39"/>
        <v>0</v>
      </c>
    </row>
    <row r="206" spans="1:32" x14ac:dyDescent="0.3">
      <c r="A206">
        <v>31</v>
      </c>
      <c r="B206">
        <v>50</v>
      </c>
      <c r="C206">
        <v>150</v>
      </c>
      <c r="D206">
        <f t="shared" si="30"/>
        <v>22.222222222222221</v>
      </c>
      <c r="E206">
        <f t="shared" si="31"/>
        <v>1</v>
      </c>
      <c r="F206">
        <v>66</v>
      </c>
      <c r="G206">
        <f t="shared" si="32"/>
        <v>16</v>
      </c>
      <c r="H206">
        <v>0</v>
      </c>
      <c r="J206">
        <v>0</v>
      </c>
      <c r="K206">
        <v>0</v>
      </c>
      <c r="L206">
        <v>2</v>
      </c>
      <c r="M206">
        <v>40</v>
      </c>
      <c r="N206">
        <v>5</v>
      </c>
      <c r="O206">
        <f t="shared" si="33"/>
        <v>40.714285714285715</v>
      </c>
      <c r="P206">
        <v>0</v>
      </c>
      <c r="Q206">
        <v>0</v>
      </c>
      <c r="R206">
        <v>3</v>
      </c>
      <c r="S206" t="s">
        <v>49</v>
      </c>
      <c r="T206">
        <v>0</v>
      </c>
      <c r="U206">
        <v>0</v>
      </c>
      <c r="V206">
        <v>3120</v>
      </c>
      <c r="W206">
        <v>9</v>
      </c>
      <c r="X206">
        <v>1</v>
      </c>
      <c r="Y206">
        <v>0</v>
      </c>
      <c r="AA206">
        <f t="shared" si="34"/>
        <v>1</v>
      </c>
      <c r="AB206" t="str">
        <f t="shared" si="35"/>
        <v>0</v>
      </c>
      <c r="AC206">
        <f t="shared" si="36"/>
        <v>0</v>
      </c>
      <c r="AD206">
        <f t="shared" si="37"/>
        <v>0</v>
      </c>
      <c r="AE206">
        <f t="shared" si="38"/>
        <v>1</v>
      </c>
      <c r="AF206">
        <f t="shared" si="39"/>
        <v>0</v>
      </c>
    </row>
    <row r="207" spans="1:32" x14ac:dyDescent="0.3">
      <c r="A207">
        <v>33</v>
      </c>
      <c r="B207">
        <v>68</v>
      </c>
      <c r="C207">
        <v>165</v>
      </c>
      <c r="D207">
        <f t="shared" si="30"/>
        <v>24.977043158861342</v>
      </c>
      <c r="E207">
        <f t="shared" si="31"/>
        <v>2</v>
      </c>
      <c r="F207">
        <v>77</v>
      </c>
      <c r="G207">
        <f t="shared" si="32"/>
        <v>9</v>
      </c>
      <c r="H207">
        <v>0</v>
      </c>
      <c r="J207">
        <v>0</v>
      </c>
      <c r="K207">
        <v>0</v>
      </c>
      <c r="L207">
        <v>3</v>
      </c>
      <c r="M207">
        <v>41</v>
      </c>
      <c r="N207">
        <v>1</v>
      </c>
      <c r="O207">
        <f t="shared" si="33"/>
        <v>41.142857142857146</v>
      </c>
      <c r="P207">
        <v>1</v>
      </c>
      <c r="Q207">
        <v>0</v>
      </c>
      <c r="R207">
        <v>0</v>
      </c>
      <c r="T207">
        <v>0</v>
      </c>
      <c r="U207">
        <v>0</v>
      </c>
      <c r="V207">
        <v>3130</v>
      </c>
      <c r="W207">
        <v>9</v>
      </c>
      <c r="X207">
        <v>0</v>
      </c>
      <c r="Y207">
        <v>0</v>
      </c>
      <c r="AA207">
        <f t="shared" si="34"/>
        <v>0</v>
      </c>
      <c r="AB207" t="str">
        <f t="shared" si="35"/>
        <v>0</v>
      </c>
      <c r="AC207">
        <f t="shared" si="36"/>
        <v>0</v>
      </c>
      <c r="AD207">
        <f t="shared" si="37"/>
        <v>0</v>
      </c>
      <c r="AE207">
        <f t="shared" si="38"/>
        <v>0</v>
      </c>
      <c r="AF207">
        <f t="shared" si="39"/>
        <v>0</v>
      </c>
    </row>
    <row r="208" spans="1:32" x14ac:dyDescent="0.3">
      <c r="A208">
        <v>32</v>
      </c>
      <c r="B208">
        <v>60</v>
      </c>
      <c r="C208">
        <v>158</v>
      </c>
      <c r="D208">
        <f t="shared" si="30"/>
        <v>24.034609838166958</v>
      </c>
      <c r="E208">
        <f t="shared" si="31"/>
        <v>2</v>
      </c>
      <c r="F208">
        <v>77</v>
      </c>
      <c r="G208">
        <f t="shared" si="32"/>
        <v>17</v>
      </c>
      <c r="H208">
        <v>0</v>
      </c>
      <c r="J208">
        <v>0</v>
      </c>
      <c r="K208">
        <v>0</v>
      </c>
      <c r="L208">
        <v>2</v>
      </c>
      <c r="M208">
        <v>38</v>
      </c>
      <c r="N208">
        <v>3</v>
      </c>
      <c r="O208">
        <f t="shared" si="33"/>
        <v>38.428571428571431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3000</v>
      </c>
      <c r="W208">
        <v>10</v>
      </c>
      <c r="X208">
        <v>0</v>
      </c>
      <c r="Y208">
        <v>0</v>
      </c>
      <c r="AA208">
        <f t="shared" si="34"/>
        <v>1</v>
      </c>
      <c r="AB208" t="str">
        <f t="shared" si="35"/>
        <v>0</v>
      </c>
      <c r="AC208">
        <f t="shared" si="36"/>
        <v>0</v>
      </c>
      <c r="AD208">
        <f t="shared" si="37"/>
        <v>0</v>
      </c>
      <c r="AE208">
        <f t="shared" si="38"/>
        <v>0</v>
      </c>
      <c r="AF208">
        <f t="shared" si="39"/>
        <v>0</v>
      </c>
    </row>
    <row r="209" spans="1:32" x14ac:dyDescent="0.3">
      <c r="A209">
        <v>26</v>
      </c>
      <c r="B209">
        <v>40</v>
      </c>
      <c r="C209">
        <v>155</v>
      </c>
      <c r="D209">
        <f t="shared" si="30"/>
        <v>16.649323621227886</v>
      </c>
      <c r="E209">
        <f t="shared" si="31"/>
        <v>0</v>
      </c>
      <c r="F209">
        <v>47</v>
      </c>
      <c r="G209">
        <f t="shared" si="32"/>
        <v>7</v>
      </c>
      <c r="H209">
        <v>0</v>
      </c>
      <c r="J209">
        <v>0</v>
      </c>
      <c r="K209">
        <v>0</v>
      </c>
      <c r="L209">
        <v>0</v>
      </c>
      <c r="M209">
        <v>37</v>
      </c>
      <c r="N209">
        <v>5</v>
      </c>
      <c r="O209">
        <f t="shared" si="33"/>
        <v>37.714285714285715</v>
      </c>
      <c r="P209">
        <v>0</v>
      </c>
      <c r="Q209">
        <v>0</v>
      </c>
      <c r="R209">
        <v>3</v>
      </c>
      <c r="S209" t="s">
        <v>36</v>
      </c>
      <c r="T209">
        <v>0</v>
      </c>
      <c r="U209">
        <v>0</v>
      </c>
      <c r="V209">
        <v>2260</v>
      </c>
      <c r="W209">
        <v>8</v>
      </c>
      <c r="X209">
        <v>1</v>
      </c>
      <c r="Y209">
        <v>0</v>
      </c>
      <c r="AA209">
        <f t="shared" si="34"/>
        <v>0</v>
      </c>
      <c r="AB209" t="str">
        <f t="shared" si="35"/>
        <v>1</v>
      </c>
      <c r="AC209">
        <f t="shared" si="36"/>
        <v>0</v>
      </c>
      <c r="AD209">
        <f t="shared" si="37"/>
        <v>0</v>
      </c>
      <c r="AE209">
        <f t="shared" si="38"/>
        <v>1</v>
      </c>
      <c r="AF209">
        <f t="shared" si="39"/>
        <v>0</v>
      </c>
    </row>
    <row r="210" spans="1:32" x14ac:dyDescent="0.3">
      <c r="A210">
        <v>22</v>
      </c>
      <c r="B210">
        <v>53</v>
      </c>
      <c r="C210">
        <v>160</v>
      </c>
      <c r="D210">
        <f t="shared" si="30"/>
        <v>20.703124999999996</v>
      </c>
      <c r="E210">
        <f t="shared" si="31"/>
        <v>1</v>
      </c>
      <c r="F210">
        <v>77</v>
      </c>
      <c r="G210">
        <f t="shared" si="32"/>
        <v>24</v>
      </c>
      <c r="H210">
        <v>0</v>
      </c>
      <c r="J210">
        <v>0</v>
      </c>
      <c r="K210">
        <v>0</v>
      </c>
      <c r="L210">
        <v>0</v>
      </c>
      <c r="M210">
        <v>40</v>
      </c>
      <c r="N210">
        <v>0</v>
      </c>
      <c r="O210">
        <f t="shared" si="33"/>
        <v>40</v>
      </c>
      <c r="P210">
        <v>0</v>
      </c>
      <c r="Q210">
        <v>1</v>
      </c>
      <c r="R210">
        <v>0</v>
      </c>
      <c r="T210">
        <v>0</v>
      </c>
      <c r="U210">
        <v>0</v>
      </c>
      <c r="V210">
        <v>2890</v>
      </c>
      <c r="W210">
        <v>9</v>
      </c>
      <c r="X210">
        <v>0</v>
      </c>
      <c r="Y210">
        <v>0</v>
      </c>
      <c r="AA210">
        <f t="shared" si="34"/>
        <v>1</v>
      </c>
      <c r="AB210" t="str">
        <f t="shared" si="35"/>
        <v>0</v>
      </c>
      <c r="AC210">
        <f t="shared" si="36"/>
        <v>0</v>
      </c>
      <c r="AD210">
        <f t="shared" si="37"/>
        <v>0</v>
      </c>
      <c r="AE210">
        <f t="shared" si="38"/>
        <v>0</v>
      </c>
      <c r="AF210">
        <f t="shared" si="39"/>
        <v>0</v>
      </c>
    </row>
    <row r="211" spans="1:32" x14ac:dyDescent="0.3">
      <c r="A211">
        <v>37</v>
      </c>
      <c r="B211">
        <v>51</v>
      </c>
      <c r="C211">
        <v>160</v>
      </c>
      <c r="D211">
        <f t="shared" si="30"/>
        <v>19.921874999999996</v>
      </c>
      <c r="E211">
        <f t="shared" si="31"/>
        <v>1</v>
      </c>
      <c r="F211">
        <v>59</v>
      </c>
      <c r="G211">
        <f t="shared" si="32"/>
        <v>8</v>
      </c>
      <c r="H211">
        <v>0</v>
      </c>
      <c r="J211">
        <v>0</v>
      </c>
      <c r="K211">
        <v>1</v>
      </c>
      <c r="L211">
        <v>1</v>
      </c>
      <c r="M211">
        <v>39</v>
      </c>
      <c r="N211">
        <v>0</v>
      </c>
      <c r="O211">
        <f t="shared" si="33"/>
        <v>39</v>
      </c>
      <c r="P211">
        <v>1</v>
      </c>
      <c r="Q211">
        <v>0</v>
      </c>
      <c r="R211">
        <v>3</v>
      </c>
      <c r="S211" t="s">
        <v>34</v>
      </c>
      <c r="T211">
        <v>0</v>
      </c>
      <c r="U211">
        <v>0</v>
      </c>
      <c r="V211">
        <v>3140</v>
      </c>
      <c r="W211">
        <v>8</v>
      </c>
      <c r="X211">
        <v>1</v>
      </c>
      <c r="Y211">
        <v>0</v>
      </c>
      <c r="AA211">
        <f t="shared" si="34"/>
        <v>0</v>
      </c>
      <c r="AB211" t="str">
        <f t="shared" si="35"/>
        <v>0</v>
      </c>
      <c r="AC211">
        <f t="shared" si="36"/>
        <v>0</v>
      </c>
      <c r="AD211">
        <f t="shared" si="37"/>
        <v>0</v>
      </c>
      <c r="AE211">
        <f t="shared" si="38"/>
        <v>1</v>
      </c>
      <c r="AF211">
        <f t="shared" si="39"/>
        <v>0</v>
      </c>
    </row>
    <row r="212" spans="1:32" x14ac:dyDescent="0.3">
      <c r="A212">
        <v>40</v>
      </c>
      <c r="B212">
        <v>64</v>
      </c>
      <c r="C212">
        <v>150</v>
      </c>
      <c r="D212">
        <f t="shared" si="30"/>
        <v>28.444444444444443</v>
      </c>
      <c r="E212">
        <f t="shared" si="31"/>
        <v>3</v>
      </c>
      <c r="F212">
        <v>71</v>
      </c>
      <c r="G212">
        <f t="shared" si="32"/>
        <v>7</v>
      </c>
      <c r="H212">
        <v>1</v>
      </c>
      <c r="I212" t="s">
        <v>32</v>
      </c>
      <c r="J212">
        <v>0</v>
      </c>
      <c r="K212">
        <v>0</v>
      </c>
      <c r="L212">
        <v>0</v>
      </c>
      <c r="M212">
        <v>38</v>
      </c>
      <c r="N212">
        <v>6</v>
      </c>
      <c r="O212">
        <f t="shared" si="33"/>
        <v>38.857142857142854</v>
      </c>
      <c r="P212">
        <v>1</v>
      </c>
      <c r="Q212">
        <v>1</v>
      </c>
      <c r="R212">
        <v>3</v>
      </c>
      <c r="S212" t="s">
        <v>35</v>
      </c>
      <c r="T212">
        <v>0</v>
      </c>
      <c r="U212">
        <v>0</v>
      </c>
      <c r="V212">
        <v>3150</v>
      </c>
      <c r="W212">
        <v>8</v>
      </c>
      <c r="X212">
        <v>1</v>
      </c>
      <c r="Y212">
        <v>0</v>
      </c>
      <c r="AA212">
        <f t="shared" si="34"/>
        <v>0</v>
      </c>
      <c r="AB212" t="str">
        <f t="shared" si="35"/>
        <v>0</v>
      </c>
      <c r="AC212">
        <f t="shared" si="36"/>
        <v>0</v>
      </c>
      <c r="AD212">
        <f t="shared" si="37"/>
        <v>0</v>
      </c>
      <c r="AE212">
        <f t="shared" si="38"/>
        <v>1</v>
      </c>
      <c r="AF212">
        <f t="shared" si="39"/>
        <v>0</v>
      </c>
    </row>
    <row r="213" spans="1:32" x14ac:dyDescent="0.3">
      <c r="A213">
        <v>39</v>
      </c>
      <c r="B213">
        <v>53</v>
      </c>
      <c r="C213">
        <v>156</v>
      </c>
      <c r="D213">
        <f t="shared" si="30"/>
        <v>21.7784352399737</v>
      </c>
      <c r="E213">
        <f t="shared" si="31"/>
        <v>1</v>
      </c>
      <c r="F213">
        <v>58</v>
      </c>
      <c r="G213">
        <f t="shared" si="32"/>
        <v>5</v>
      </c>
      <c r="H213">
        <v>0</v>
      </c>
      <c r="J213">
        <v>0</v>
      </c>
      <c r="K213">
        <v>1</v>
      </c>
      <c r="L213">
        <v>1</v>
      </c>
      <c r="M213">
        <v>38</v>
      </c>
      <c r="N213">
        <v>0</v>
      </c>
      <c r="O213">
        <f t="shared" si="33"/>
        <v>38</v>
      </c>
      <c r="P213">
        <v>0</v>
      </c>
      <c r="Q213">
        <v>0</v>
      </c>
      <c r="R213">
        <v>3</v>
      </c>
      <c r="S213" t="s">
        <v>34</v>
      </c>
      <c r="T213">
        <v>0</v>
      </c>
      <c r="U213">
        <v>0</v>
      </c>
      <c r="V213">
        <v>2950</v>
      </c>
      <c r="W213">
        <v>9</v>
      </c>
      <c r="X213">
        <v>1</v>
      </c>
      <c r="Y213">
        <v>0</v>
      </c>
      <c r="AA213">
        <f t="shared" si="34"/>
        <v>0</v>
      </c>
      <c r="AB213" t="str">
        <f t="shared" si="35"/>
        <v>0</v>
      </c>
      <c r="AC213">
        <f t="shared" si="36"/>
        <v>0</v>
      </c>
      <c r="AD213">
        <f t="shared" si="37"/>
        <v>0</v>
      </c>
      <c r="AE213">
        <f t="shared" si="38"/>
        <v>1</v>
      </c>
      <c r="AF213">
        <f t="shared" si="39"/>
        <v>0</v>
      </c>
    </row>
    <row r="214" spans="1:32" x14ac:dyDescent="0.3">
      <c r="A214">
        <v>33</v>
      </c>
      <c r="B214">
        <v>70</v>
      </c>
      <c r="C214">
        <v>168</v>
      </c>
      <c r="D214">
        <f t="shared" si="30"/>
        <v>24.801587301587304</v>
      </c>
      <c r="E214">
        <f t="shared" si="31"/>
        <v>2</v>
      </c>
      <c r="F214">
        <v>92</v>
      </c>
      <c r="G214">
        <f t="shared" si="32"/>
        <v>22</v>
      </c>
      <c r="H214">
        <v>0</v>
      </c>
      <c r="J214">
        <v>0</v>
      </c>
      <c r="K214">
        <v>0</v>
      </c>
      <c r="L214">
        <v>1</v>
      </c>
      <c r="M214">
        <v>39</v>
      </c>
      <c r="N214">
        <v>0</v>
      </c>
      <c r="O214">
        <f t="shared" si="33"/>
        <v>39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2470</v>
      </c>
      <c r="W214">
        <v>9</v>
      </c>
      <c r="X214">
        <v>1</v>
      </c>
      <c r="Y214">
        <v>0</v>
      </c>
      <c r="AA214">
        <f t="shared" si="34"/>
        <v>1</v>
      </c>
      <c r="AB214" t="str">
        <f t="shared" si="35"/>
        <v>1</v>
      </c>
      <c r="AC214">
        <f t="shared" si="36"/>
        <v>0</v>
      </c>
      <c r="AD214">
        <f t="shared" si="37"/>
        <v>0</v>
      </c>
      <c r="AE214">
        <f t="shared" si="38"/>
        <v>0</v>
      </c>
      <c r="AF214">
        <f t="shared" si="39"/>
        <v>0</v>
      </c>
    </row>
    <row r="215" spans="1:32" x14ac:dyDescent="0.3">
      <c r="A215">
        <v>32</v>
      </c>
      <c r="B215">
        <v>55</v>
      </c>
      <c r="C215">
        <v>154</v>
      </c>
      <c r="D215">
        <f t="shared" si="30"/>
        <v>23.19109461966605</v>
      </c>
      <c r="E215">
        <f t="shared" si="31"/>
        <v>2</v>
      </c>
      <c r="F215">
        <v>66</v>
      </c>
      <c r="G215">
        <f t="shared" si="32"/>
        <v>11</v>
      </c>
      <c r="H215">
        <v>0</v>
      </c>
      <c r="J215">
        <v>0</v>
      </c>
      <c r="K215">
        <v>0</v>
      </c>
      <c r="L215">
        <v>0</v>
      </c>
      <c r="M215">
        <v>38</v>
      </c>
      <c r="N215">
        <v>4</v>
      </c>
      <c r="O215">
        <f t="shared" si="33"/>
        <v>38.571428571428569</v>
      </c>
      <c r="P215">
        <v>0</v>
      </c>
      <c r="Q215">
        <v>0</v>
      </c>
      <c r="R215">
        <v>3</v>
      </c>
      <c r="S215" t="s">
        <v>43</v>
      </c>
      <c r="T215">
        <v>0</v>
      </c>
      <c r="U215">
        <v>0</v>
      </c>
      <c r="V215">
        <v>2740</v>
      </c>
      <c r="W215">
        <v>9</v>
      </c>
      <c r="X215">
        <v>1</v>
      </c>
      <c r="Y215">
        <v>0</v>
      </c>
      <c r="AA215">
        <f t="shared" si="34"/>
        <v>0</v>
      </c>
      <c r="AB215" t="str">
        <f t="shared" si="35"/>
        <v>0</v>
      </c>
      <c r="AC215">
        <f t="shared" si="36"/>
        <v>0</v>
      </c>
      <c r="AD215">
        <f t="shared" si="37"/>
        <v>0</v>
      </c>
      <c r="AE215">
        <f t="shared" si="38"/>
        <v>1</v>
      </c>
      <c r="AF215">
        <f t="shared" si="39"/>
        <v>0</v>
      </c>
    </row>
    <row r="216" spans="1:32" x14ac:dyDescent="0.3">
      <c r="A216">
        <v>20</v>
      </c>
      <c r="B216">
        <v>92</v>
      </c>
      <c r="C216">
        <v>165</v>
      </c>
      <c r="D216">
        <f t="shared" si="30"/>
        <v>33.792470156106525</v>
      </c>
      <c r="E216">
        <f t="shared" si="31"/>
        <v>3</v>
      </c>
      <c r="F216">
        <v>113</v>
      </c>
      <c r="G216">
        <f t="shared" si="32"/>
        <v>21</v>
      </c>
      <c r="H216">
        <v>1</v>
      </c>
      <c r="I216" t="s">
        <v>65</v>
      </c>
      <c r="J216">
        <v>0</v>
      </c>
      <c r="K216">
        <v>0</v>
      </c>
      <c r="L216">
        <v>0</v>
      </c>
      <c r="M216">
        <v>37</v>
      </c>
      <c r="N216">
        <v>5</v>
      </c>
      <c r="O216">
        <f t="shared" si="33"/>
        <v>37.714285714285715</v>
      </c>
      <c r="P216">
        <v>0</v>
      </c>
      <c r="Q216">
        <v>0</v>
      </c>
      <c r="R216">
        <v>3</v>
      </c>
      <c r="S216" t="s">
        <v>49</v>
      </c>
      <c r="T216">
        <v>0</v>
      </c>
      <c r="U216">
        <v>0</v>
      </c>
      <c r="V216">
        <v>3250</v>
      </c>
      <c r="W216">
        <v>8</v>
      </c>
      <c r="X216">
        <v>1</v>
      </c>
      <c r="Y216">
        <v>0</v>
      </c>
      <c r="AA216">
        <f t="shared" si="34"/>
        <v>1</v>
      </c>
      <c r="AB216" t="str">
        <f t="shared" si="35"/>
        <v>0</v>
      </c>
      <c r="AC216">
        <f t="shared" si="36"/>
        <v>0</v>
      </c>
      <c r="AD216">
        <f t="shared" si="37"/>
        <v>0</v>
      </c>
      <c r="AE216">
        <f t="shared" si="38"/>
        <v>1</v>
      </c>
      <c r="AF216">
        <f t="shared" si="39"/>
        <v>0</v>
      </c>
    </row>
    <row r="217" spans="1:32" x14ac:dyDescent="0.3">
      <c r="A217">
        <v>17</v>
      </c>
      <c r="B217">
        <v>63</v>
      </c>
      <c r="C217">
        <v>156</v>
      </c>
      <c r="D217">
        <f t="shared" si="30"/>
        <v>25.88757396449704</v>
      </c>
      <c r="E217">
        <f t="shared" si="31"/>
        <v>3</v>
      </c>
      <c r="F217">
        <v>63</v>
      </c>
      <c r="G217">
        <f t="shared" si="32"/>
        <v>0</v>
      </c>
      <c r="H217">
        <v>1</v>
      </c>
      <c r="I217" t="s">
        <v>32</v>
      </c>
      <c r="J217">
        <v>0</v>
      </c>
      <c r="K217">
        <v>0</v>
      </c>
      <c r="L217">
        <v>0</v>
      </c>
      <c r="M217">
        <v>39</v>
      </c>
      <c r="N217">
        <v>6</v>
      </c>
      <c r="O217">
        <f t="shared" si="33"/>
        <v>39.857142857142854</v>
      </c>
      <c r="P217">
        <v>1</v>
      </c>
      <c r="Q217">
        <v>0</v>
      </c>
      <c r="R217">
        <v>0</v>
      </c>
      <c r="T217">
        <v>0</v>
      </c>
      <c r="U217">
        <v>0</v>
      </c>
      <c r="V217">
        <v>3200</v>
      </c>
      <c r="W217">
        <v>9</v>
      </c>
      <c r="X217">
        <v>1</v>
      </c>
      <c r="Y217">
        <v>0</v>
      </c>
      <c r="AA217">
        <f t="shared" si="34"/>
        <v>0</v>
      </c>
      <c r="AB217" t="str">
        <f t="shared" si="35"/>
        <v>0</v>
      </c>
      <c r="AC217">
        <f t="shared" si="36"/>
        <v>0</v>
      </c>
      <c r="AD217">
        <f t="shared" si="37"/>
        <v>0</v>
      </c>
      <c r="AE217">
        <f t="shared" si="38"/>
        <v>0</v>
      </c>
      <c r="AF217">
        <f t="shared" si="39"/>
        <v>0</v>
      </c>
    </row>
    <row r="218" spans="1:32" x14ac:dyDescent="0.3">
      <c r="A218">
        <v>24</v>
      </c>
      <c r="B218">
        <v>50</v>
      </c>
      <c r="C218">
        <v>162</v>
      </c>
      <c r="D218">
        <f t="shared" si="30"/>
        <v>19.051973784484069</v>
      </c>
      <c r="E218">
        <f t="shared" si="31"/>
        <v>1</v>
      </c>
      <c r="F218">
        <v>64</v>
      </c>
      <c r="G218">
        <f t="shared" si="32"/>
        <v>14</v>
      </c>
      <c r="H218">
        <v>0</v>
      </c>
      <c r="J218">
        <v>0</v>
      </c>
      <c r="K218">
        <v>0</v>
      </c>
      <c r="L218">
        <v>0</v>
      </c>
      <c r="M218">
        <v>39</v>
      </c>
      <c r="N218">
        <v>3</v>
      </c>
      <c r="O218">
        <f t="shared" si="33"/>
        <v>39.428571428571431</v>
      </c>
      <c r="P218">
        <v>1</v>
      </c>
      <c r="Q218">
        <v>0</v>
      </c>
      <c r="R218">
        <v>0</v>
      </c>
      <c r="T218">
        <v>0</v>
      </c>
      <c r="U218">
        <v>0</v>
      </c>
      <c r="V218">
        <v>2630</v>
      </c>
      <c r="W218">
        <v>8</v>
      </c>
      <c r="X218">
        <v>1</v>
      </c>
      <c r="Y218">
        <v>0</v>
      </c>
      <c r="AA218">
        <f t="shared" si="34"/>
        <v>0</v>
      </c>
      <c r="AB218" t="str">
        <f t="shared" si="35"/>
        <v>1</v>
      </c>
      <c r="AC218">
        <f t="shared" si="36"/>
        <v>0</v>
      </c>
      <c r="AD218">
        <f t="shared" si="37"/>
        <v>0</v>
      </c>
      <c r="AE218">
        <f t="shared" si="38"/>
        <v>0</v>
      </c>
      <c r="AF218">
        <f t="shared" si="39"/>
        <v>0</v>
      </c>
    </row>
    <row r="219" spans="1:32" x14ac:dyDescent="0.3">
      <c r="A219">
        <v>33</v>
      </c>
      <c r="B219">
        <v>50</v>
      </c>
      <c r="C219">
        <v>158</v>
      </c>
      <c r="D219">
        <f t="shared" si="30"/>
        <v>20.028841531805796</v>
      </c>
      <c r="E219">
        <f t="shared" si="31"/>
        <v>1</v>
      </c>
      <c r="F219">
        <v>72</v>
      </c>
      <c r="G219">
        <f t="shared" si="32"/>
        <v>22</v>
      </c>
      <c r="H219">
        <v>1</v>
      </c>
      <c r="I219" t="s">
        <v>52</v>
      </c>
      <c r="J219">
        <v>0</v>
      </c>
      <c r="K219">
        <v>0</v>
      </c>
      <c r="L219">
        <v>1</v>
      </c>
      <c r="M219">
        <v>37</v>
      </c>
      <c r="N219">
        <v>1</v>
      </c>
      <c r="O219">
        <f t="shared" si="33"/>
        <v>37.142857142857146</v>
      </c>
      <c r="P219">
        <v>0</v>
      </c>
      <c r="Q219">
        <v>0</v>
      </c>
      <c r="R219">
        <v>0</v>
      </c>
      <c r="T219">
        <v>0</v>
      </c>
      <c r="U219">
        <v>0</v>
      </c>
      <c r="V219">
        <v>3340</v>
      </c>
      <c r="W219">
        <v>8</v>
      </c>
      <c r="X219">
        <v>1</v>
      </c>
      <c r="Y219">
        <v>0</v>
      </c>
      <c r="AA219">
        <f t="shared" si="34"/>
        <v>1</v>
      </c>
      <c r="AB219" t="str">
        <f t="shared" si="35"/>
        <v>2</v>
      </c>
      <c r="AC219">
        <f t="shared" si="36"/>
        <v>0</v>
      </c>
      <c r="AD219">
        <f t="shared" si="37"/>
        <v>0</v>
      </c>
      <c r="AE219">
        <f t="shared" si="38"/>
        <v>0</v>
      </c>
      <c r="AF219">
        <f t="shared" si="39"/>
        <v>0</v>
      </c>
    </row>
    <row r="220" spans="1:32" x14ac:dyDescent="0.3">
      <c r="A220">
        <v>24</v>
      </c>
      <c r="B220">
        <v>51</v>
      </c>
      <c r="C220">
        <v>155</v>
      </c>
      <c r="D220">
        <f t="shared" si="30"/>
        <v>21.227887617065555</v>
      </c>
      <c r="E220">
        <f t="shared" si="31"/>
        <v>1</v>
      </c>
      <c r="F220">
        <v>69</v>
      </c>
      <c r="G220">
        <f t="shared" si="32"/>
        <v>18</v>
      </c>
      <c r="H220">
        <v>0</v>
      </c>
      <c r="J220">
        <v>0</v>
      </c>
      <c r="K220">
        <v>0</v>
      </c>
      <c r="L220">
        <v>0</v>
      </c>
      <c r="M220">
        <v>40</v>
      </c>
      <c r="N220">
        <v>0</v>
      </c>
      <c r="O220">
        <f t="shared" si="33"/>
        <v>40</v>
      </c>
      <c r="P220">
        <v>0</v>
      </c>
      <c r="Q220">
        <v>0</v>
      </c>
      <c r="R220">
        <v>0</v>
      </c>
      <c r="T220">
        <v>0</v>
      </c>
      <c r="U220">
        <v>0</v>
      </c>
      <c r="V220">
        <v>3360</v>
      </c>
      <c r="W220">
        <v>5</v>
      </c>
      <c r="X220">
        <v>1</v>
      </c>
      <c r="Y220">
        <v>1</v>
      </c>
      <c r="Z220" t="s">
        <v>38</v>
      </c>
      <c r="AA220">
        <f t="shared" si="34"/>
        <v>1</v>
      </c>
      <c r="AB220" t="str">
        <f t="shared" si="35"/>
        <v>0</v>
      </c>
      <c r="AC220">
        <f t="shared" si="36"/>
        <v>0</v>
      </c>
      <c r="AD220">
        <f t="shared" si="37"/>
        <v>1</v>
      </c>
      <c r="AE220">
        <f t="shared" si="38"/>
        <v>0</v>
      </c>
      <c r="AF220">
        <f t="shared" si="39"/>
        <v>0</v>
      </c>
    </row>
    <row r="221" spans="1:32" x14ac:dyDescent="0.3">
      <c r="A221">
        <v>19</v>
      </c>
      <c r="B221">
        <v>47</v>
      </c>
      <c r="C221">
        <v>156</v>
      </c>
      <c r="D221">
        <f t="shared" si="30"/>
        <v>19.312952005259696</v>
      </c>
      <c r="E221">
        <f t="shared" si="31"/>
        <v>1</v>
      </c>
      <c r="F221">
        <v>57.6</v>
      </c>
      <c r="G221">
        <f t="shared" si="32"/>
        <v>10.600000000000001</v>
      </c>
      <c r="H221">
        <v>0</v>
      </c>
      <c r="J221">
        <v>0</v>
      </c>
      <c r="K221">
        <v>0</v>
      </c>
      <c r="L221">
        <v>0</v>
      </c>
      <c r="M221">
        <v>38</v>
      </c>
      <c r="N221">
        <v>2</v>
      </c>
      <c r="O221">
        <f t="shared" si="33"/>
        <v>38.285714285714285</v>
      </c>
      <c r="P221">
        <v>0</v>
      </c>
      <c r="Q221">
        <v>0</v>
      </c>
      <c r="R221">
        <v>3</v>
      </c>
      <c r="S221" t="s">
        <v>36</v>
      </c>
      <c r="T221">
        <v>0</v>
      </c>
      <c r="U221">
        <v>0</v>
      </c>
      <c r="V221">
        <v>3330</v>
      </c>
      <c r="W221">
        <v>8</v>
      </c>
      <c r="X221">
        <v>1</v>
      </c>
      <c r="Y221">
        <v>0</v>
      </c>
      <c r="AA221">
        <f t="shared" si="34"/>
        <v>0</v>
      </c>
      <c r="AB221" t="str">
        <f t="shared" si="35"/>
        <v>0</v>
      </c>
      <c r="AC221">
        <f t="shared" si="36"/>
        <v>0</v>
      </c>
      <c r="AD221">
        <f t="shared" si="37"/>
        <v>0</v>
      </c>
      <c r="AE221">
        <f t="shared" si="38"/>
        <v>1</v>
      </c>
      <c r="AF221">
        <f t="shared" si="39"/>
        <v>0</v>
      </c>
    </row>
    <row r="222" spans="1:32" x14ac:dyDescent="0.3">
      <c r="A222">
        <v>25</v>
      </c>
      <c r="B222">
        <v>40</v>
      </c>
      <c r="C222">
        <v>156</v>
      </c>
      <c r="D222">
        <f t="shared" si="30"/>
        <v>16.436554898093359</v>
      </c>
      <c r="E222">
        <f t="shared" si="31"/>
        <v>0</v>
      </c>
      <c r="F222">
        <v>55</v>
      </c>
      <c r="G222">
        <f t="shared" si="32"/>
        <v>15</v>
      </c>
      <c r="H222">
        <v>0</v>
      </c>
      <c r="J222">
        <v>0</v>
      </c>
      <c r="K222">
        <v>0</v>
      </c>
      <c r="L222">
        <v>1</v>
      </c>
      <c r="M222">
        <v>38</v>
      </c>
      <c r="N222">
        <v>2</v>
      </c>
      <c r="O222">
        <f t="shared" si="33"/>
        <v>38.285714285714285</v>
      </c>
      <c r="P222">
        <v>0</v>
      </c>
      <c r="Q222">
        <v>0</v>
      </c>
      <c r="R222">
        <v>0</v>
      </c>
      <c r="T222">
        <v>0</v>
      </c>
      <c r="U222">
        <v>0</v>
      </c>
      <c r="V222">
        <v>3430</v>
      </c>
      <c r="W222">
        <v>9</v>
      </c>
      <c r="X222">
        <v>0</v>
      </c>
      <c r="Y222">
        <v>0</v>
      </c>
      <c r="AA222">
        <f t="shared" si="34"/>
        <v>0</v>
      </c>
      <c r="AB222" t="str">
        <f t="shared" si="35"/>
        <v>0</v>
      </c>
      <c r="AC222">
        <f t="shared" si="36"/>
        <v>0</v>
      </c>
      <c r="AD222">
        <f t="shared" si="37"/>
        <v>0</v>
      </c>
      <c r="AE222">
        <f t="shared" si="38"/>
        <v>0</v>
      </c>
      <c r="AF222">
        <f t="shared" si="39"/>
        <v>0</v>
      </c>
    </row>
    <row r="223" spans="1:32" x14ac:dyDescent="0.3">
      <c r="A223">
        <v>26</v>
      </c>
      <c r="B223">
        <v>45</v>
      </c>
      <c r="C223">
        <v>156</v>
      </c>
      <c r="D223">
        <f t="shared" si="30"/>
        <v>18.491124260355029</v>
      </c>
      <c r="E223">
        <f t="shared" si="31"/>
        <v>0</v>
      </c>
      <c r="F223">
        <v>53</v>
      </c>
      <c r="G223">
        <f t="shared" si="32"/>
        <v>8</v>
      </c>
      <c r="H223">
        <v>1</v>
      </c>
      <c r="I223" t="s">
        <v>66</v>
      </c>
      <c r="J223">
        <v>0</v>
      </c>
      <c r="K223">
        <v>0</v>
      </c>
      <c r="L223">
        <v>0</v>
      </c>
      <c r="M223">
        <v>37</v>
      </c>
      <c r="N223">
        <v>3</v>
      </c>
      <c r="O223">
        <f t="shared" si="33"/>
        <v>37.428571428571431</v>
      </c>
      <c r="P223">
        <v>0</v>
      </c>
      <c r="Q223">
        <v>0</v>
      </c>
      <c r="R223">
        <v>0</v>
      </c>
      <c r="T223">
        <v>0</v>
      </c>
      <c r="U223">
        <v>0</v>
      </c>
      <c r="V223">
        <v>2380</v>
      </c>
      <c r="W223">
        <v>10</v>
      </c>
      <c r="X223">
        <v>1</v>
      </c>
      <c r="Y223">
        <v>0</v>
      </c>
      <c r="AA223">
        <f t="shared" si="34"/>
        <v>0</v>
      </c>
      <c r="AB223" t="str">
        <f t="shared" si="35"/>
        <v>0</v>
      </c>
      <c r="AC223">
        <f t="shared" si="36"/>
        <v>0</v>
      </c>
      <c r="AD223">
        <f t="shared" si="37"/>
        <v>0</v>
      </c>
      <c r="AE223">
        <f t="shared" si="38"/>
        <v>0</v>
      </c>
      <c r="AF223">
        <f t="shared" si="39"/>
        <v>0</v>
      </c>
    </row>
    <row r="224" spans="1:32" x14ac:dyDescent="0.3">
      <c r="A224">
        <v>25</v>
      </c>
      <c r="B224">
        <v>46</v>
      </c>
      <c r="C224">
        <v>166</v>
      </c>
      <c r="D224">
        <f t="shared" si="30"/>
        <v>16.693279140659023</v>
      </c>
      <c r="E224">
        <f t="shared" si="31"/>
        <v>0</v>
      </c>
      <c r="F224">
        <v>70</v>
      </c>
      <c r="G224">
        <f t="shared" si="32"/>
        <v>24</v>
      </c>
      <c r="H224">
        <v>0</v>
      </c>
      <c r="J224">
        <v>0</v>
      </c>
      <c r="K224">
        <v>0</v>
      </c>
      <c r="L224">
        <v>0</v>
      </c>
      <c r="M224">
        <v>40</v>
      </c>
      <c r="N224">
        <v>0</v>
      </c>
      <c r="O224">
        <f t="shared" si="33"/>
        <v>40</v>
      </c>
      <c r="P224">
        <v>0</v>
      </c>
      <c r="Q224">
        <v>0</v>
      </c>
      <c r="R224">
        <v>0</v>
      </c>
      <c r="T224">
        <v>0</v>
      </c>
      <c r="U224">
        <v>0</v>
      </c>
      <c r="V224">
        <v>3500</v>
      </c>
      <c r="W224">
        <v>9</v>
      </c>
      <c r="X224">
        <v>0</v>
      </c>
      <c r="Y224">
        <v>0</v>
      </c>
      <c r="AA224">
        <f t="shared" si="34"/>
        <v>1</v>
      </c>
      <c r="AB224" t="str">
        <f t="shared" si="35"/>
        <v>0</v>
      </c>
      <c r="AC224">
        <f t="shared" si="36"/>
        <v>0</v>
      </c>
      <c r="AD224">
        <f t="shared" si="37"/>
        <v>0</v>
      </c>
      <c r="AE224">
        <f t="shared" si="38"/>
        <v>0</v>
      </c>
      <c r="AF224">
        <f t="shared" si="39"/>
        <v>0</v>
      </c>
    </row>
    <row r="225" spans="1:32" x14ac:dyDescent="0.3">
      <c r="A225">
        <v>38</v>
      </c>
      <c r="B225">
        <v>45</v>
      </c>
      <c r="C225">
        <v>155</v>
      </c>
      <c r="D225">
        <f t="shared" si="30"/>
        <v>18.730489073881373</v>
      </c>
      <c r="E225">
        <f t="shared" si="31"/>
        <v>1</v>
      </c>
      <c r="F225">
        <v>57</v>
      </c>
      <c r="G225">
        <f t="shared" si="32"/>
        <v>12</v>
      </c>
      <c r="H225">
        <v>1</v>
      </c>
      <c r="I225" t="s">
        <v>45</v>
      </c>
      <c r="J225">
        <v>0</v>
      </c>
      <c r="K225">
        <v>0</v>
      </c>
      <c r="L225">
        <v>1</v>
      </c>
      <c r="M225">
        <v>38</v>
      </c>
      <c r="N225">
        <v>6</v>
      </c>
      <c r="O225">
        <f t="shared" si="33"/>
        <v>38.857142857142854</v>
      </c>
      <c r="P225">
        <v>0</v>
      </c>
      <c r="Q225">
        <v>1</v>
      </c>
      <c r="R225">
        <v>0</v>
      </c>
      <c r="T225">
        <v>0</v>
      </c>
      <c r="U225">
        <v>0</v>
      </c>
      <c r="V225">
        <v>2660</v>
      </c>
      <c r="W225">
        <v>9</v>
      </c>
      <c r="X225">
        <v>0</v>
      </c>
      <c r="Y225">
        <v>0</v>
      </c>
      <c r="AA225">
        <f t="shared" si="34"/>
        <v>0</v>
      </c>
      <c r="AB225" t="str">
        <f t="shared" si="35"/>
        <v>0</v>
      </c>
      <c r="AC225">
        <f t="shared" si="36"/>
        <v>0</v>
      </c>
      <c r="AD225">
        <f t="shared" si="37"/>
        <v>0</v>
      </c>
      <c r="AE225">
        <f t="shared" si="38"/>
        <v>0</v>
      </c>
      <c r="AF225">
        <f t="shared" si="39"/>
        <v>0</v>
      </c>
    </row>
    <row r="226" spans="1:32" x14ac:dyDescent="0.3">
      <c r="A226">
        <v>37</v>
      </c>
      <c r="B226">
        <v>54</v>
      </c>
      <c r="C226">
        <v>158</v>
      </c>
      <c r="D226">
        <f t="shared" si="30"/>
        <v>21.631148854350261</v>
      </c>
      <c r="E226">
        <f t="shared" si="31"/>
        <v>1</v>
      </c>
      <c r="F226">
        <v>75</v>
      </c>
      <c r="G226">
        <f t="shared" si="32"/>
        <v>21</v>
      </c>
      <c r="H226">
        <v>0</v>
      </c>
      <c r="J226">
        <v>0</v>
      </c>
      <c r="K226">
        <v>0</v>
      </c>
      <c r="L226">
        <v>0</v>
      </c>
      <c r="M226">
        <v>38</v>
      </c>
      <c r="N226">
        <v>4</v>
      </c>
      <c r="O226">
        <f t="shared" si="33"/>
        <v>38.571428571428569</v>
      </c>
      <c r="P226">
        <v>0</v>
      </c>
      <c r="Q226">
        <v>0</v>
      </c>
      <c r="R226">
        <v>0</v>
      </c>
      <c r="T226">
        <v>0</v>
      </c>
      <c r="U226">
        <v>0</v>
      </c>
      <c r="V226">
        <v>3050</v>
      </c>
      <c r="W226">
        <v>9</v>
      </c>
      <c r="X226">
        <v>0</v>
      </c>
      <c r="Y226">
        <v>0</v>
      </c>
      <c r="AA226">
        <f t="shared" si="34"/>
        <v>1</v>
      </c>
      <c r="AB226" t="str">
        <f t="shared" si="35"/>
        <v>0</v>
      </c>
      <c r="AC226">
        <f t="shared" si="36"/>
        <v>0</v>
      </c>
      <c r="AD226">
        <f t="shared" si="37"/>
        <v>0</v>
      </c>
      <c r="AE226">
        <f t="shared" si="38"/>
        <v>0</v>
      </c>
      <c r="AF226">
        <f t="shared" si="39"/>
        <v>0</v>
      </c>
    </row>
    <row r="227" spans="1:32" x14ac:dyDescent="0.3">
      <c r="A227">
        <v>30</v>
      </c>
      <c r="B227">
        <v>48</v>
      </c>
      <c r="C227">
        <v>164</v>
      </c>
      <c r="D227">
        <f t="shared" si="30"/>
        <v>17.846519928613922</v>
      </c>
      <c r="E227">
        <f t="shared" si="31"/>
        <v>0</v>
      </c>
      <c r="F227">
        <v>56</v>
      </c>
      <c r="G227">
        <f t="shared" si="32"/>
        <v>8</v>
      </c>
      <c r="H227">
        <v>0</v>
      </c>
      <c r="J227">
        <v>0</v>
      </c>
      <c r="K227">
        <v>1</v>
      </c>
      <c r="L227">
        <v>2</v>
      </c>
      <c r="M227">
        <v>38</v>
      </c>
      <c r="N227">
        <v>1</v>
      </c>
      <c r="O227">
        <f t="shared" si="33"/>
        <v>38.142857142857146</v>
      </c>
      <c r="P227">
        <v>0</v>
      </c>
      <c r="Q227">
        <v>0</v>
      </c>
      <c r="R227">
        <v>3</v>
      </c>
      <c r="S227" t="s">
        <v>34</v>
      </c>
      <c r="T227">
        <v>0</v>
      </c>
      <c r="U227">
        <v>0</v>
      </c>
      <c r="V227">
        <v>2880</v>
      </c>
      <c r="W227">
        <v>8</v>
      </c>
      <c r="X227">
        <v>1</v>
      </c>
      <c r="Y227">
        <v>0</v>
      </c>
      <c r="AA227">
        <f t="shared" si="34"/>
        <v>0</v>
      </c>
      <c r="AB227" t="str">
        <f t="shared" si="35"/>
        <v>0</v>
      </c>
      <c r="AC227">
        <f t="shared" si="36"/>
        <v>0</v>
      </c>
      <c r="AD227">
        <f t="shared" si="37"/>
        <v>0</v>
      </c>
      <c r="AE227">
        <f t="shared" si="38"/>
        <v>1</v>
      </c>
      <c r="AF227">
        <f t="shared" si="39"/>
        <v>0</v>
      </c>
    </row>
    <row r="228" spans="1:32" x14ac:dyDescent="0.3">
      <c r="A228">
        <v>23</v>
      </c>
      <c r="B228">
        <v>88</v>
      </c>
      <c r="C228">
        <v>158</v>
      </c>
      <c r="D228">
        <f t="shared" si="30"/>
        <v>35.250761095978206</v>
      </c>
      <c r="E228">
        <f t="shared" si="31"/>
        <v>3</v>
      </c>
      <c r="F228">
        <v>99</v>
      </c>
      <c r="G228">
        <f t="shared" si="32"/>
        <v>11</v>
      </c>
      <c r="H228">
        <v>1</v>
      </c>
      <c r="I228" t="s">
        <v>32</v>
      </c>
      <c r="J228">
        <v>0</v>
      </c>
      <c r="K228">
        <v>0</v>
      </c>
      <c r="L228">
        <v>0</v>
      </c>
      <c r="M228">
        <v>39</v>
      </c>
      <c r="N228">
        <v>3</v>
      </c>
      <c r="O228">
        <f t="shared" si="33"/>
        <v>39.428571428571431</v>
      </c>
      <c r="P228">
        <v>0</v>
      </c>
      <c r="Q228">
        <v>0</v>
      </c>
      <c r="R228">
        <v>3</v>
      </c>
      <c r="S228" t="s">
        <v>35</v>
      </c>
      <c r="T228">
        <v>0</v>
      </c>
      <c r="U228">
        <v>0</v>
      </c>
      <c r="V228">
        <v>3250</v>
      </c>
      <c r="W228">
        <v>9</v>
      </c>
      <c r="X228">
        <v>1</v>
      </c>
      <c r="Y228">
        <v>0</v>
      </c>
      <c r="AA228">
        <f t="shared" si="34"/>
        <v>1</v>
      </c>
      <c r="AB228" t="str">
        <f t="shared" si="35"/>
        <v>0</v>
      </c>
      <c r="AC228">
        <f t="shared" si="36"/>
        <v>0</v>
      </c>
      <c r="AD228">
        <f t="shared" si="37"/>
        <v>0</v>
      </c>
      <c r="AE228">
        <f t="shared" si="38"/>
        <v>1</v>
      </c>
      <c r="AF228">
        <f t="shared" si="39"/>
        <v>0</v>
      </c>
    </row>
    <row r="229" spans="1:32" x14ac:dyDescent="0.3">
      <c r="A229">
        <v>27</v>
      </c>
      <c r="B229">
        <v>63</v>
      </c>
      <c r="C229">
        <v>155</v>
      </c>
      <c r="D229">
        <f t="shared" si="30"/>
        <v>26.22268470343392</v>
      </c>
      <c r="E229">
        <f t="shared" si="31"/>
        <v>3</v>
      </c>
      <c r="F229">
        <v>69</v>
      </c>
      <c r="G229">
        <f t="shared" si="32"/>
        <v>6</v>
      </c>
      <c r="H229">
        <v>1</v>
      </c>
      <c r="I229" t="s">
        <v>32</v>
      </c>
      <c r="J229">
        <v>0</v>
      </c>
      <c r="K229">
        <v>0</v>
      </c>
      <c r="L229">
        <v>0</v>
      </c>
      <c r="M229">
        <v>39</v>
      </c>
      <c r="N229">
        <v>2</v>
      </c>
      <c r="O229">
        <f t="shared" si="33"/>
        <v>39.285714285714285</v>
      </c>
      <c r="P229">
        <v>0</v>
      </c>
      <c r="Q229">
        <v>0</v>
      </c>
      <c r="R229">
        <v>3</v>
      </c>
      <c r="S229" t="s">
        <v>43</v>
      </c>
      <c r="T229">
        <v>0</v>
      </c>
      <c r="U229">
        <v>0</v>
      </c>
      <c r="V229">
        <v>2820</v>
      </c>
      <c r="W229">
        <v>9</v>
      </c>
      <c r="X229">
        <v>1</v>
      </c>
      <c r="Y229">
        <v>0</v>
      </c>
      <c r="AA229">
        <f t="shared" si="34"/>
        <v>0</v>
      </c>
      <c r="AB229" t="str">
        <f t="shared" si="35"/>
        <v>0</v>
      </c>
      <c r="AC229">
        <f t="shared" si="36"/>
        <v>0</v>
      </c>
      <c r="AD229">
        <f t="shared" si="37"/>
        <v>0</v>
      </c>
      <c r="AE229">
        <f t="shared" si="38"/>
        <v>1</v>
      </c>
      <c r="AF229">
        <f t="shared" si="39"/>
        <v>0</v>
      </c>
    </row>
    <row r="230" spans="1:32" x14ac:dyDescent="0.3">
      <c r="A230">
        <v>29</v>
      </c>
      <c r="B230">
        <v>47</v>
      </c>
      <c r="C230">
        <v>167</v>
      </c>
      <c r="D230">
        <f t="shared" si="30"/>
        <v>16.852522499910361</v>
      </c>
      <c r="E230">
        <f t="shared" si="31"/>
        <v>0</v>
      </c>
      <c r="F230">
        <v>66</v>
      </c>
      <c r="G230">
        <f t="shared" si="32"/>
        <v>19</v>
      </c>
      <c r="H230">
        <v>1</v>
      </c>
      <c r="I230" t="s">
        <v>67</v>
      </c>
      <c r="J230">
        <v>0</v>
      </c>
      <c r="K230">
        <v>0</v>
      </c>
      <c r="L230">
        <v>1</v>
      </c>
      <c r="M230">
        <v>38</v>
      </c>
      <c r="N230">
        <v>3</v>
      </c>
      <c r="O230">
        <f t="shared" si="33"/>
        <v>38.428571428571431</v>
      </c>
      <c r="P230">
        <v>0</v>
      </c>
      <c r="Q230">
        <v>0</v>
      </c>
      <c r="R230">
        <v>0</v>
      </c>
      <c r="T230">
        <v>0</v>
      </c>
      <c r="U230">
        <v>0</v>
      </c>
      <c r="V230">
        <v>2760</v>
      </c>
      <c r="W230">
        <v>9</v>
      </c>
      <c r="X230">
        <v>0</v>
      </c>
      <c r="Y230">
        <v>0</v>
      </c>
      <c r="AA230">
        <f t="shared" si="34"/>
        <v>1</v>
      </c>
      <c r="AB230" t="str">
        <f t="shared" si="35"/>
        <v>0</v>
      </c>
      <c r="AC230">
        <f t="shared" si="36"/>
        <v>0</v>
      </c>
      <c r="AD230">
        <f t="shared" si="37"/>
        <v>0</v>
      </c>
      <c r="AE230">
        <f t="shared" si="38"/>
        <v>0</v>
      </c>
      <c r="AF230">
        <f t="shared" si="39"/>
        <v>0</v>
      </c>
    </row>
    <row r="231" spans="1:32" x14ac:dyDescent="0.3">
      <c r="A231">
        <v>20</v>
      </c>
      <c r="B231">
        <v>50</v>
      </c>
      <c r="C231">
        <v>157</v>
      </c>
      <c r="D231">
        <f t="shared" si="30"/>
        <v>20.28479857195018</v>
      </c>
      <c r="E231">
        <f t="shared" si="31"/>
        <v>1</v>
      </c>
      <c r="F231">
        <v>73</v>
      </c>
      <c r="G231">
        <f t="shared" si="32"/>
        <v>23</v>
      </c>
      <c r="H231">
        <v>0</v>
      </c>
      <c r="J231">
        <v>0</v>
      </c>
      <c r="K231">
        <v>0</v>
      </c>
      <c r="L231">
        <v>0</v>
      </c>
      <c r="M231">
        <v>40</v>
      </c>
      <c r="N231">
        <v>4</v>
      </c>
      <c r="O231">
        <f t="shared" si="33"/>
        <v>40.571428571428569</v>
      </c>
      <c r="P231">
        <v>0</v>
      </c>
      <c r="Q231">
        <v>0</v>
      </c>
      <c r="R231">
        <v>0</v>
      </c>
      <c r="T231">
        <v>0</v>
      </c>
      <c r="U231">
        <v>0</v>
      </c>
      <c r="V231">
        <v>2980</v>
      </c>
      <c r="W231">
        <v>8</v>
      </c>
      <c r="X231">
        <v>0</v>
      </c>
      <c r="Y231">
        <v>0</v>
      </c>
      <c r="AA231">
        <f t="shared" si="34"/>
        <v>1</v>
      </c>
      <c r="AB231" t="str">
        <f t="shared" si="35"/>
        <v>0</v>
      </c>
      <c r="AC231">
        <f t="shared" si="36"/>
        <v>0</v>
      </c>
      <c r="AD231">
        <f t="shared" si="37"/>
        <v>0</v>
      </c>
      <c r="AE231">
        <f t="shared" si="38"/>
        <v>0</v>
      </c>
      <c r="AF231">
        <f t="shared" si="39"/>
        <v>0</v>
      </c>
    </row>
    <row r="232" spans="1:32" x14ac:dyDescent="0.3">
      <c r="A232">
        <v>24</v>
      </c>
      <c r="B232">
        <v>47</v>
      </c>
      <c r="C232">
        <v>150</v>
      </c>
      <c r="D232">
        <f t="shared" si="30"/>
        <v>20.888888888888889</v>
      </c>
      <c r="E232">
        <f t="shared" si="31"/>
        <v>1</v>
      </c>
      <c r="F232">
        <v>60</v>
      </c>
      <c r="G232">
        <f t="shared" si="32"/>
        <v>13</v>
      </c>
      <c r="H232">
        <v>0</v>
      </c>
      <c r="J232">
        <v>0</v>
      </c>
      <c r="K232">
        <v>0</v>
      </c>
      <c r="L232">
        <v>0</v>
      </c>
      <c r="M232">
        <v>38</v>
      </c>
      <c r="N232">
        <v>1</v>
      </c>
      <c r="O232">
        <f t="shared" si="33"/>
        <v>38.142857142857146</v>
      </c>
      <c r="P232">
        <v>1</v>
      </c>
      <c r="Q232">
        <v>0</v>
      </c>
      <c r="R232">
        <v>3</v>
      </c>
      <c r="S232" t="s">
        <v>36</v>
      </c>
      <c r="T232">
        <v>0</v>
      </c>
      <c r="U232">
        <v>0</v>
      </c>
      <c r="V232">
        <v>3290</v>
      </c>
      <c r="W232">
        <v>9</v>
      </c>
      <c r="X232">
        <v>1</v>
      </c>
      <c r="Y232">
        <v>0</v>
      </c>
      <c r="AA232">
        <f t="shared" si="34"/>
        <v>0</v>
      </c>
      <c r="AB232" t="str">
        <f t="shared" si="35"/>
        <v>0</v>
      </c>
      <c r="AC232">
        <f t="shared" si="36"/>
        <v>0</v>
      </c>
      <c r="AD232">
        <f t="shared" si="37"/>
        <v>0</v>
      </c>
      <c r="AE232">
        <f t="shared" si="38"/>
        <v>1</v>
      </c>
      <c r="AF232">
        <f t="shared" si="39"/>
        <v>0</v>
      </c>
    </row>
    <row r="233" spans="1:32" x14ac:dyDescent="0.3">
      <c r="A233">
        <v>28</v>
      </c>
      <c r="B233">
        <v>62</v>
      </c>
      <c r="C233">
        <v>156</v>
      </c>
      <c r="D233">
        <f t="shared" si="30"/>
        <v>25.476660092044707</v>
      </c>
      <c r="E233">
        <f t="shared" si="31"/>
        <v>3</v>
      </c>
      <c r="F233">
        <v>85</v>
      </c>
      <c r="G233">
        <f t="shared" si="32"/>
        <v>23</v>
      </c>
      <c r="H233">
        <v>1</v>
      </c>
      <c r="I233" t="s">
        <v>32</v>
      </c>
      <c r="J233">
        <v>0</v>
      </c>
      <c r="K233">
        <v>1</v>
      </c>
      <c r="L233">
        <v>2</v>
      </c>
      <c r="M233">
        <v>38</v>
      </c>
      <c r="N233">
        <v>3</v>
      </c>
      <c r="O233">
        <f t="shared" si="33"/>
        <v>38.428571428571431</v>
      </c>
      <c r="P233">
        <v>0</v>
      </c>
      <c r="Q233">
        <v>0</v>
      </c>
      <c r="R233">
        <v>3</v>
      </c>
      <c r="S233" t="s">
        <v>34</v>
      </c>
      <c r="T233">
        <v>0</v>
      </c>
      <c r="U233">
        <v>0</v>
      </c>
      <c r="V233">
        <v>3710</v>
      </c>
      <c r="W233">
        <v>8</v>
      </c>
      <c r="X233">
        <v>1</v>
      </c>
      <c r="Y233">
        <v>0</v>
      </c>
      <c r="AA233">
        <f t="shared" si="34"/>
        <v>1</v>
      </c>
      <c r="AB233" t="str">
        <f t="shared" si="35"/>
        <v>2</v>
      </c>
      <c r="AC233">
        <f t="shared" si="36"/>
        <v>0</v>
      </c>
      <c r="AD233">
        <f t="shared" si="37"/>
        <v>0</v>
      </c>
      <c r="AE233">
        <f t="shared" si="38"/>
        <v>1</v>
      </c>
      <c r="AF233">
        <f t="shared" si="39"/>
        <v>0</v>
      </c>
    </row>
    <row r="234" spans="1:32" x14ac:dyDescent="0.3">
      <c r="A234">
        <v>27</v>
      </c>
      <c r="B234">
        <v>54</v>
      </c>
      <c r="C234">
        <v>151</v>
      </c>
      <c r="D234">
        <f t="shared" si="30"/>
        <v>23.683171790710933</v>
      </c>
      <c r="E234">
        <f t="shared" si="31"/>
        <v>2</v>
      </c>
      <c r="F234">
        <v>65</v>
      </c>
      <c r="G234">
        <f t="shared" si="32"/>
        <v>11</v>
      </c>
      <c r="H234">
        <v>1</v>
      </c>
      <c r="I234" t="s">
        <v>52</v>
      </c>
      <c r="J234">
        <v>0</v>
      </c>
      <c r="K234">
        <v>0</v>
      </c>
      <c r="L234">
        <v>0</v>
      </c>
      <c r="M234">
        <v>38</v>
      </c>
      <c r="N234">
        <v>3</v>
      </c>
      <c r="O234">
        <f t="shared" si="33"/>
        <v>38.428571428571431</v>
      </c>
      <c r="P234">
        <v>0</v>
      </c>
      <c r="Q234">
        <v>0</v>
      </c>
      <c r="R234">
        <v>3</v>
      </c>
      <c r="S234" t="s">
        <v>43</v>
      </c>
      <c r="T234">
        <v>0</v>
      </c>
      <c r="U234">
        <v>0</v>
      </c>
      <c r="V234">
        <v>3090</v>
      </c>
      <c r="W234">
        <v>9</v>
      </c>
      <c r="X234">
        <v>1</v>
      </c>
      <c r="Y234">
        <v>0</v>
      </c>
      <c r="AA234">
        <f t="shared" si="34"/>
        <v>0</v>
      </c>
      <c r="AB234" t="str">
        <f t="shared" si="35"/>
        <v>0</v>
      </c>
      <c r="AC234">
        <f t="shared" si="36"/>
        <v>0</v>
      </c>
      <c r="AD234">
        <f t="shared" si="37"/>
        <v>0</v>
      </c>
      <c r="AE234">
        <f t="shared" si="38"/>
        <v>1</v>
      </c>
      <c r="AF234">
        <f t="shared" si="39"/>
        <v>0</v>
      </c>
    </row>
    <row r="235" spans="1:32" x14ac:dyDescent="0.3">
      <c r="A235">
        <v>27</v>
      </c>
      <c r="B235">
        <v>75</v>
      </c>
      <c r="C235">
        <v>158</v>
      </c>
      <c r="D235">
        <f t="shared" si="30"/>
        <v>30.043262297708697</v>
      </c>
      <c r="E235">
        <f t="shared" si="31"/>
        <v>3</v>
      </c>
      <c r="F235">
        <v>78</v>
      </c>
      <c r="G235">
        <f t="shared" si="32"/>
        <v>3</v>
      </c>
      <c r="H235">
        <v>1</v>
      </c>
      <c r="I235" t="s">
        <v>32</v>
      </c>
      <c r="J235">
        <v>0</v>
      </c>
      <c r="K235">
        <v>0</v>
      </c>
      <c r="L235">
        <v>1</v>
      </c>
      <c r="M235">
        <v>39</v>
      </c>
      <c r="N235">
        <v>1</v>
      </c>
      <c r="O235">
        <f t="shared" si="33"/>
        <v>39.142857142857146</v>
      </c>
      <c r="P235">
        <v>1</v>
      </c>
      <c r="Q235">
        <v>0</v>
      </c>
      <c r="R235">
        <v>0</v>
      </c>
      <c r="T235">
        <v>0</v>
      </c>
      <c r="U235">
        <v>0</v>
      </c>
      <c r="V235">
        <v>3620</v>
      </c>
      <c r="W235">
        <v>9</v>
      </c>
      <c r="X235">
        <v>1</v>
      </c>
      <c r="Y235">
        <v>0</v>
      </c>
      <c r="AA235">
        <f t="shared" si="34"/>
        <v>0</v>
      </c>
      <c r="AB235" t="str">
        <f t="shared" si="35"/>
        <v>0</v>
      </c>
      <c r="AC235">
        <f t="shared" si="36"/>
        <v>0</v>
      </c>
      <c r="AD235">
        <f t="shared" si="37"/>
        <v>0</v>
      </c>
      <c r="AE235">
        <f t="shared" si="38"/>
        <v>0</v>
      </c>
      <c r="AF235">
        <f t="shared" si="39"/>
        <v>0</v>
      </c>
    </row>
    <row r="236" spans="1:32" x14ac:dyDescent="0.3">
      <c r="A236">
        <v>26</v>
      </c>
      <c r="B236">
        <v>46</v>
      </c>
      <c r="C236">
        <v>158</v>
      </c>
      <c r="D236">
        <f t="shared" si="30"/>
        <v>18.426534209261334</v>
      </c>
      <c r="E236">
        <f t="shared" si="31"/>
        <v>0</v>
      </c>
      <c r="F236">
        <v>58</v>
      </c>
      <c r="G236">
        <f t="shared" si="32"/>
        <v>12</v>
      </c>
      <c r="H236">
        <v>0</v>
      </c>
      <c r="J236">
        <v>0</v>
      </c>
      <c r="K236">
        <v>0</v>
      </c>
      <c r="L236">
        <v>1</v>
      </c>
      <c r="M236">
        <v>39</v>
      </c>
      <c r="N236">
        <v>2</v>
      </c>
      <c r="O236">
        <f t="shared" si="33"/>
        <v>39.285714285714285</v>
      </c>
      <c r="P236">
        <v>0</v>
      </c>
      <c r="Q236">
        <v>0</v>
      </c>
      <c r="R236">
        <v>0</v>
      </c>
      <c r="T236">
        <v>1</v>
      </c>
      <c r="U236">
        <v>0</v>
      </c>
      <c r="V236">
        <v>3070</v>
      </c>
      <c r="W236">
        <v>9</v>
      </c>
      <c r="X236">
        <v>0</v>
      </c>
      <c r="Y236">
        <v>0</v>
      </c>
      <c r="AA236">
        <f t="shared" si="34"/>
        <v>0</v>
      </c>
      <c r="AB236" t="str">
        <f t="shared" si="35"/>
        <v>0</v>
      </c>
      <c r="AC236">
        <f t="shared" si="36"/>
        <v>0</v>
      </c>
      <c r="AD236">
        <f t="shared" si="37"/>
        <v>0</v>
      </c>
      <c r="AE236">
        <f t="shared" si="38"/>
        <v>0</v>
      </c>
      <c r="AF236">
        <f t="shared" si="39"/>
        <v>0</v>
      </c>
    </row>
    <row r="237" spans="1:32" x14ac:dyDescent="0.3">
      <c r="A237">
        <v>31</v>
      </c>
      <c r="B237">
        <v>45</v>
      </c>
      <c r="C237">
        <v>155</v>
      </c>
      <c r="D237">
        <f t="shared" si="30"/>
        <v>18.730489073881373</v>
      </c>
      <c r="E237">
        <f t="shared" si="31"/>
        <v>1</v>
      </c>
      <c r="F237">
        <v>54</v>
      </c>
      <c r="G237">
        <f t="shared" si="32"/>
        <v>9</v>
      </c>
      <c r="H237">
        <v>0</v>
      </c>
      <c r="J237">
        <v>0</v>
      </c>
      <c r="K237">
        <v>0</v>
      </c>
      <c r="L237">
        <v>3</v>
      </c>
      <c r="M237">
        <v>40</v>
      </c>
      <c r="N237">
        <v>4</v>
      </c>
      <c r="O237">
        <f t="shared" si="33"/>
        <v>40.571428571428569</v>
      </c>
      <c r="P237">
        <v>0</v>
      </c>
      <c r="Q237">
        <v>0</v>
      </c>
      <c r="R237">
        <v>0</v>
      </c>
      <c r="T237">
        <v>0</v>
      </c>
      <c r="U237">
        <v>0</v>
      </c>
      <c r="V237">
        <v>3450</v>
      </c>
      <c r="W237">
        <v>9</v>
      </c>
      <c r="X237">
        <v>1</v>
      </c>
      <c r="Y237">
        <v>0</v>
      </c>
      <c r="AA237">
        <f t="shared" si="34"/>
        <v>0</v>
      </c>
      <c r="AB237" t="str">
        <f t="shared" si="35"/>
        <v>0</v>
      </c>
      <c r="AC237">
        <f t="shared" si="36"/>
        <v>0</v>
      </c>
      <c r="AD237">
        <f t="shared" si="37"/>
        <v>0</v>
      </c>
      <c r="AE237">
        <f t="shared" si="38"/>
        <v>0</v>
      </c>
      <c r="AF237">
        <f t="shared" si="39"/>
        <v>0</v>
      </c>
    </row>
    <row r="238" spans="1:32" x14ac:dyDescent="0.3">
      <c r="A238">
        <v>30</v>
      </c>
      <c r="B238">
        <v>67</v>
      </c>
      <c r="C238">
        <v>167</v>
      </c>
      <c r="D238">
        <f t="shared" si="30"/>
        <v>24.023808670084982</v>
      </c>
      <c r="E238">
        <f t="shared" si="31"/>
        <v>2</v>
      </c>
      <c r="F238">
        <v>80</v>
      </c>
      <c r="G238">
        <f t="shared" si="32"/>
        <v>13</v>
      </c>
      <c r="H238">
        <v>1</v>
      </c>
      <c r="I238" t="s">
        <v>45</v>
      </c>
      <c r="J238">
        <v>0</v>
      </c>
      <c r="K238">
        <v>1</v>
      </c>
      <c r="L238">
        <v>1</v>
      </c>
      <c r="M238">
        <v>37</v>
      </c>
      <c r="N238">
        <v>4</v>
      </c>
      <c r="O238">
        <f t="shared" si="33"/>
        <v>37.571428571428569</v>
      </c>
      <c r="P238">
        <v>1</v>
      </c>
      <c r="Q238">
        <v>0</v>
      </c>
      <c r="R238">
        <v>3</v>
      </c>
      <c r="S238" t="s">
        <v>34</v>
      </c>
      <c r="T238">
        <v>0</v>
      </c>
      <c r="U238">
        <v>0</v>
      </c>
      <c r="V238">
        <v>3150</v>
      </c>
      <c r="W238">
        <v>9</v>
      </c>
      <c r="X238">
        <v>1</v>
      </c>
      <c r="Y238">
        <v>0</v>
      </c>
      <c r="AA238">
        <f t="shared" si="34"/>
        <v>1</v>
      </c>
      <c r="AB238" t="str">
        <f t="shared" si="35"/>
        <v>0</v>
      </c>
      <c r="AC238">
        <f t="shared" si="36"/>
        <v>0</v>
      </c>
      <c r="AD238">
        <f t="shared" si="37"/>
        <v>0</v>
      </c>
      <c r="AE238">
        <f t="shared" si="38"/>
        <v>1</v>
      </c>
      <c r="AF238">
        <f t="shared" si="39"/>
        <v>0</v>
      </c>
    </row>
    <row r="239" spans="1:32" x14ac:dyDescent="0.3">
      <c r="A239">
        <v>25</v>
      </c>
      <c r="B239">
        <v>60</v>
      </c>
      <c r="C239">
        <v>156</v>
      </c>
      <c r="D239">
        <f t="shared" si="30"/>
        <v>24.654832347140037</v>
      </c>
      <c r="E239">
        <f t="shared" si="31"/>
        <v>2</v>
      </c>
      <c r="F239">
        <v>80</v>
      </c>
      <c r="G239">
        <f t="shared" si="32"/>
        <v>20</v>
      </c>
      <c r="H239">
        <v>0</v>
      </c>
      <c r="J239">
        <v>0</v>
      </c>
      <c r="K239">
        <v>1</v>
      </c>
      <c r="L239">
        <v>1</v>
      </c>
      <c r="M239">
        <v>38</v>
      </c>
      <c r="N239">
        <v>2</v>
      </c>
      <c r="O239">
        <f t="shared" si="33"/>
        <v>38.285714285714285</v>
      </c>
      <c r="P239">
        <v>0</v>
      </c>
      <c r="Q239">
        <v>0</v>
      </c>
      <c r="R239">
        <v>3</v>
      </c>
      <c r="S239" t="s">
        <v>34</v>
      </c>
      <c r="T239">
        <v>0</v>
      </c>
      <c r="U239">
        <v>0</v>
      </c>
      <c r="V239">
        <v>3150</v>
      </c>
      <c r="W239">
        <v>9</v>
      </c>
      <c r="X239">
        <v>1</v>
      </c>
      <c r="Y239">
        <v>0</v>
      </c>
      <c r="AA239">
        <f t="shared" si="34"/>
        <v>1</v>
      </c>
      <c r="AB239" t="str">
        <f t="shared" si="35"/>
        <v>0</v>
      </c>
      <c r="AC239">
        <f t="shared" si="36"/>
        <v>0</v>
      </c>
      <c r="AD239">
        <f t="shared" si="37"/>
        <v>0</v>
      </c>
      <c r="AE239">
        <f t="shared" si="38"/>
        <v>1</v>
      </c>
      <c r="AF239">
        <f t="shared" si="39"/>
        <v>0</v>
      </c>
    </row>
    <row r="240" spans="1:32" x14ac:dyDescent="0.3">
      <c r="A240">
        <v>32</v>
      </c>
      <c r="B240">
        <v>47</v>
      </c>
      <c r="C240">
        <v>147</v>
      </c>
      <c r="D240">
        <f t="shared" si="30"/>
        <v>21.750196677310381</v>
      </c>
      <c r="E240">
        <f t="shared" si="31"/>
        <v>1</v>
      </c>
      <c r="F240">
        <v>50.5</v>
      </c>
      <c r="G240">
        <f t="shared" si="32"/>
        <v>3.5</v>
      </c>
      <c r="H240">
        <v>1</v>
      </c>
      <c r="I240" t="s">
        <v>45</v>
      </c>
      <c r="J240">
        <v>0</v>
      </c>
      <c r="K240">
        <v>0</v>
      </c>
      <c r="L240">
        <v>0</v>
      </c>
      <c r="M240">
        <v>40</v>
      </c>
      <c r="N240">
        <v>5</v>
      </c>
      <c r="O240">
        <f t="shared" si="33"/>
        <v>40.714285714285715</v>
      </c>
      <c r="P240">
        <v>0</v>
      </c>
      <c r="Q240">
        <v>0</v>
      </c>
      <c r="R240">
        <v>3</v>
      </c>
      <c r="S240" t="s">
        <v>35</v>
      </c>
      <c r="T240">
        <v>0</v>
      </c>
      <c r="U240">
        <v>0</v>
      </c>
      <c r="V240">
        <v>3240</v>
      </c>
      <c r="W240">
        <v>9</v>
      </c>
      <c r="X240">
        <v>1</v>
      </c>
      <c r="Y240">
        <v>0</v>
      </c>
      <c r="AA240">
        <f t="shared" si="34"/>
        <v>0</v>
      </c>
      <c r="AB240" t="str">
        <f t="shared" si="35"/>
        <v>0</v>
      </c>
      <c r="AC240">
        <f t="shared" si="36"/>
        <v>0</v>
      </c>
      <c r="AD240">
        <f t="shared" si="37"/>
        <v>0</v>
      </c>
      <c r="AE240">
        <f t="shared" si="38"/>
        <v>1</v>
      </c>
      <c r="AF240">
        <f t="shared" si="39"/>
        <v>0</v>
      </c>
    </row>
    <row r="241" spans="1:32" x14ac:dyDescent="0.3">
      <c r="A241">
        <v>19</v>
      </c>
      <c r="B241">
        <v>65</v>
      </c>
      <c r="C241">
        <v>161</v>
      </c>
      <c r="D241">
        <f t="shared" si="30"/>
        <v>25.076193048107708</v>
      </c>
      <c r="E241">
        <f t="shared" si="31"/>
        <v>3</v>
      </c>
      <c r="F241">
        <v>84</v>
      </c>
      <c r="G241">
        <f t="shared" si="32"/>
        <v>19</v>
      </c>
      <c r="H241">
        <v>1</v>
      </c>
      <c r="I241" t="s">
        <v>32</v>
      </c>
      <c r="J241">
        <v>0</v>
      </c>
      <c r="K241">
        <v>0</v>
      </c>
      <c r="L241">
        <v>0</v>
      </c>
      <c r="M241">
        <v>39</v>
      </c>
      <c r="N241">
        <v>5</v>
      </c>
      <c r="O241">
        <f t="shared" si="33"/>
        <v>39.714285714285715</v>
      </c>
      <c r="P241">
        <v>0</v>
      </c>
      <c r="Q241">
        <v>0</v>
      </c>
      <c r="R241">
        <v>0</v>
      </c>
      <c r="T241">
        <v>2</v>
      </c>
      <c r="U241">
        <v>0</v>
      </c>
      <c r="V241">
        <v>3260</v>
      </c>
      <c r="W241">
        <v>8</v>
      </c>
      <c r="X241">
        <v>0</v>
      </c>
      <c r="Y241">
        <v>0</v>
      </c>
      <c r="AA241">
        <f t="shared" si="34"/>
        <v>1</v>
      </c>
      <c r="AB241" t="str">
        <f t="shared" si="35"/>
        <v>0</v>
      </c>
      <c r="AC241">
        <f t="shared" si="36"/>
        <v>0</v>
      </c>
      <c r="AD241">
        <f t="shared" si="37"/>
        <v>0</v>
      </c>
      <c r="AE241">
        <f t="shared" si="38"/>
        <v>0</v>
      </c>
      <c r="AF241">
        <f t="shared" si="39"/>
        <v>0</v>
      </c>
    </row>
    <row r="242" spans="1:32" x14ac:dyDescent="0.3">
      <c r="A242">
        <v>23</v>
      </c>
      <c r="B242">
        <v>69</v>
      </c>
      <c r="C242">
        <v>165</v>
      </c>
      <c r="D242">
        <f t="shared" si="30"/>
        <v>25.344352617079892</v>
      </c>
      <c r="E242">
        <f t="shared" si="31"/>
        <v>3</v>
      </c>
      <c r="F242">
        <v>91</v>
      </c>
      <c r="G242">
        <f t="shared" si="32"/>
        <v>22</v>
      </c>
      <c r="H242">
        <v>1</v>
      </c>
      <c r="I242" t="s">
        <v>32</v>
      </c>
      <c r="J242">
        <v>0</v>
      </c>
      <c r="K242">
        <v>0</v>
      </c>
      <c r="L242">
        <v>0</v>
      </c>
      <c r="M242">
        <v>40</v>
      </c>
      <c r="N242">
        <v>0</v>
      </c>
      <c r="O242">
        <f t="shared" si="33"/>
        <v>40</v>
      </c>
      <c r="P242">
        <v>0</v>
      </c>
      <c r="Q242">
        <v>0</v>
      </c>
      <c r="R242">
        <v>3</v>
      </c>
      <c r="S242" t="s">
        <v>35</v>
      </c>
      <c r="T242">
        <v>0</v>
      </c>
      <c r="U242">
        <v>0</v>
      </c>
      <c r="V242">
        <v>2560</v>
      </c>
      <c r="W242">
        <v>9</v>
      </c>
      <c r="X242">
        <v>1</v>
      </c>
      <c r="Y242">
        <v>0</v>
      </c>
      <c r="AA242">
        <f t="shared" si="34"/>
        <v>1</v>
      </c>
      <c r="AB242" t="str">
        <f t="shared" si="35"/>
        <v>1</v>
      </c>
      <c r="AC242">
        <f t="shared" si="36"/>
        <v>0</v>
      </c>
      <c r="AD242">
        <f t="shared" si="37"/>
        <v>0</v>
      </c>
      <c r="AE242">
        <f t="shared" si="38"/>
        <v>1</v>
      </c>
      <c r="AF242">
        <f t="shared" si="39"/>
        <v>0</v>
      </c>
    </row>
    <row r="243" spans="1:32" x14ac:dyDescent="0.3">
      <c r="A243">
        <v>30</v>
      </c>
      <c r="B243">
        <v>55</v>
      </c>
      <c r="C243">
        <v>155</v>
      </c>
      <c r="D243">
        <f t="shared" si="30"/>
        <v>22.892819979188342</v>
      </c>
      <c r="E243">
        <f t="shared" si="31"/>
        <v>1</v>
      </c>
      <c r="F243">
        <v>60</v>
      </c>
      <c r="G243">
        <f t="shared" si="32"/>
        <v>5</v>
      </c>
      <c r="H243">
        <v>0</v>
      </c>
      <c r="J243">
        <v>0</v>
      </c>
      <c r="K243">
        <v>0</v>
      </c>
      <c r="L243">
        <v>1</v>
      </c>
      <c r="M243">
        <v>39</v>
      </c>
      <c r="N243">
        <v>4</v>
      </c>
      <c r="O243">
        <f t="shared" si="33"/>
        <v>39.571428571428569</v>
      </c>
      <c r="P243">
        <v>0</v>
      </c>
      <c r="Q243">
        <v>0</v>
      </c>
      <c r="R243">
        <v>0</v>
      </c>
      <c r="T243">
        <v>0</v>
      </c>
      <c r="U243">
        <v>0</v>
      </c>
      <c r="V243">
        <v>3150</v>
      </c>
      <c r="W243">
        <v>9</v>
      </c>
      <c r="X243">
        <v>0</v>
      </c>
      <c r="Y243">
        <v>0</v>
      </c>
      <c r="AA243">
        <f t="shared" si="34"/>
        <v>0</v>
      </c>
      <c r="AB243" t="str">
        <f t="shared" si="35"/>
        <v>0</v>
      </c>
      <c r="AC243">
        <f t="shared" si="36"/>
        <v>0</v>
      </c>
      <c r="AD243">
        <f t="shared" si="37"/>
        <v>0</v>
      </c>
      <c r="AE243">
        <f t="shared" si="38"/>
        <v>0</v>
      </c>
      <c r="AF243">
        <f t="shared" si="39"/>
        <v>0</v>
      </c>
    </row>
    <row r="244" spans="1:32" x14ac:dyDescent="0.3">
      <c r="A244">
        <v>39</v>
      </c>
      <c r="B244">
        <v>50</v>
      </c>
      <c r="C244">
        <v>153</v>
      </c>
      <c r="D244">
        <f t="shared" si="30"/>
        <v>21.35930624973301</v>
      </c>
      <c r="E244">
        <f t="shared" si="31"/>
        <v>1</v>
      </c>
      <c r="F244">
        <v>74</v>
      </c>
      <c r="G244">
        <f t="shared" si="32"/>
        <v>24</v>
      </c>
      <c r="H244">
        <v>0</v>
      </c>
      <c r="J244">
        <v>0</v>
      </c>
      <c r="K244">
        <v>0</v>
      </c>
      <c r="L244">
        <v>1</v>
      </c>
      <c r="M244">
        <v>40</v>
      </c>
      <c r="N244">
        <v>3</v>
      </c>
      <c r="O244">
        <f t="shared" si="33"/>
        <v>40.428571428571431</v>
      </c>
      <c r="P244">
        <v>0</v>
      </c>
      <c r="Q244">
        <v>0</v>
      </c>
      <c r="R244">
        <v>0</v>
      </c>
      <c r="T244">
        <v>0</v>
      </c>
      <c r="U244">
        <v>0</v>
      </c>
      <c r="V244">
        <v>3680</v>
      </c>
      <c r="W244">
        <v>9</v>
      </c>
      <c r="X244">
        <v>0</v>
      </c>
      <c r="Y244">
        <v>0</v>
      </c>
      <c r="AA244">
        <f t="shared" si="34"/>
        <v>1</v>
      </c>
      <c r="AB244" t="str">
        <f t="shared" si="35"/>
        <v>0</v>
      </c>
      <c r="AC244">
        <f t="shared" si="36"/>
        <v>0</v>
      </c>
      <c r="AD244">
        <f t="shared" si="37"/>
        <v>0</v>
      </c>
      <c r="AE244">
        <f t="shared" si="38"/>
        <v>0</v>
      </c>
      <c r="AF244">
        <f t="shared" si="39"/>
        <v>0</v>
      </c>
    </row>
    <row r="245" spans="1:32" x14ac:dyDescent="0.3">
      <c r="A245">
        <v>31</v>
      </c>
      <c r="B245">
        <v>56</v>
      </c>
      <c r="C245">
        <v>160</v>
      </c>
      <c r="D245">
        <f t="shared" si="30"/>
        <v>21.874999999999996</v>
      </c>
      <c r="E245">
        <f t="shared" si="31"/>
        <v>1</v>
      </c>
      <c r="F245">
        <v>79</v>
      </c>
      <c r="G245">
        <f t="shared" si="32"/>
        <v>23</v>
      </c>
      <c r="H245">
        <v>0</v>
      </c>
      <c r="J245">
        <v>0</v>
      </c>
      <c r="K245">
        <v>0</v>
      </c>
      <c r="L245">
        <v>1</v>
      </c>
      <c r="M245">
        <v>38</v>
      </c>
      <c r="N245">
        <v>5</v>
      </c>
      <c r="O245">
        <f t="shared" si="33"/>
        <v>38.714285714285715</v>
      </c>
      <c r="P245">
        <v>1</v>
      </c>
      <c r="Q245">
        <v>0</v>
      </c>
      <c r="R245">
        <v>0</v>
      </c>
      <c r="T245">
        <v>0</v>
      </c>
      <c r="U245">
        <v>0</v>
      </c>
      <c r="V245">
        <v>3700</v>
      </c>
      <c r="W245">
        <v>9</v>
      </c>
      <c r="X245">
        <v>1</v>
      </c>
      <c r="Y245">
        <v>0</v>
      </c>
      <c r="AA245">
        <f t="shared" si="34"/>
        <v>1</v>
      </c>
      <c r="AB245" t="str">
        <f t="shared" si="35"/>
        <v>2</v>
      </c>
      <c r="AC245">
        <f t="shared" si="36"/>
        <v>0</v>
      </c>
      <c r="AD245">
        <f t="shared" si="37"/>
        <v>0</v>
      </c>
      <c r="AE245">
        <f t="shared" si="38"/>
        <v>0</v>
      </c>
      <c r="AF245">
        <f t="shared" si="39"/>
        <v>0</v>
      </c>
    </row>
    <row r="246" spans="1:32" x14ac:dyDescent="0.3">
      <c r="A246">
        <v>21</v>
      </c>
      <c r="B246">
        <v>52</v>
      </c>
      <c r="C246">
        <v>165</v>
      </c>
      <c r="D246">
        <f t="shared" si="30"/>
        <v>19.100091827364558</v>
      </c>
      <c r="E246">
        <f t="shared" si="31"/>
        <v>1</v>
      </c>
      <c r="F246">
        <v>75</v>
      </c>
      <c r="G246">
        <f t="shared" si="32"/>
        <v>23</v>
      </c>
      <c r="H246">
        <v>0</v>
      </c>
      <c r="J246">
        <v>0</v>
      </c>
      <c r="K246">
        <v>0</v>
      </c>
      <c r="L246">
        <v>0</v>
      </c>
      <c r="M246">
        <v>40</v>
      </c>
      <c r="N246">
        <v>3</v>
      </c>
      <c r="O246">
        <f t="shared" si="33"/>
        <v>40.428571428571431</v>
      </c>
      <c r="P246">
        <v>0</v>
      </c>
      <c r="Q246">
        <v>0</v>
      </c>
      <c r="R246">
        <v>3</v>
      </c>
      <c r="S246" t="s">
        <v>35</v>
      </c>
      <c r="T246">
        <v>0</v>
      </c>
      <c r="U246">
        <v>0</v>
      </c>
      <c r="V246">
        <v>3990</v>
      </c>
      <c r="W246">
        <v>9</v>
      </c>
      <c r="X246">
        <v>1</v>
      </c>
      <c r="Y246">
        <v>0</v>
      </c>
      <c r="AA246">
        <f t="shared" si="34"/>
        <v>1</v>
      </c>
      <c r="AB246" t="str">
        <f t="shared" si="35"/>
        <v>2</v>
      </c>
      <c r="AC246">
        <f t="shared" si="36"/>
        <v>0</v>
      </c>
      <c r="AD246">
        <f t="shared" si="37"/>
        <v>0</v>
      </c>
      <c r="AE246">
        <f t="shared" si="38"/>
        <v>1</v>
      </c>
      <c r="AF246">
        <f t="shared" si="39"/>
        <v>0</v>
      </c>
    </row>
    <row r="247" spans="1:32" x14ac:dyDescent="0.3">
      <c r="A247">
        <v>17</v>
      </c>
      <c r="B247">
        <v>34</v>
      </c>
      <c r="C247">
        <v>149</v>
      </c>
      <c r="D247">
        <f t="shared" si="30"/>
        <v>15.314625467321292</v>
      </c>
      <c r="E247">
        <f t="shared" si="31"/>
        <v>0</v>
      </c>
      <c r="F247">
        <v>40</v>
      </c>
      <c r="G247">
        <f t="shared" si="32"/>
        <v>6</v>
      </c>
      <c r="H247">
        <v>0</v>
      </c>
      <c r="J247">
        <v>0</v>
      </c>
      <c r="K247">
        <v>0</v>
      </c>
      <c r="L247">
        <v>0</v>
      </c>
      <c r="M247">
        <v>39</v>
      </c>
      <c r="N247">
        <v>1</v>
      </c>
      <c r="O247">
        <f t="shared" si="33"/>
        <v>39.142857142857146</v>
      </c>
      <c r="P247">
        <v>0</v>
      </c>
      <c r="Q247">
        <v>0</v>
      </c>
      <c r="R247">
        <v>0</v>
      </c>
      <c r="T247">
        <v>0</v>
      </c>
      <c r="U247">
        <v>0</v>
      </c>
      <c r="V247">
        <v>3290</v>
      </c>
      <c r="W247">
        <v>9</v>
      </c>
      <c r="X247">
        <v>0</v>
      </c>
      <c r="Y247">
        <v>0</v>
      </c>
      <c r="AA247">
        <f t="shared" si="34"/>
        <v>0</v>
      </c>
      <c r="AB247" t="str">
        <f t="shared" si="35"/>
        <v>0</v>
      </c>
      <c r="AC247">
        <f t="shared" si="36"/>
        <v>0</v>
      </c>
      <c r="AD247">
        <f t="shared" si="37"/>
        <v>0</v>
      </c>
      <c r="AE247">
        <f t="shared" si="38"/>
        <v>0</v>
      </c>
      <c r="AF247">
        <f t="shared" si="39"/>
        <v>0</v>
      </c>
    </row>
    <row r="248" spans="1:32" x14ac:dyDescent="0.3">
      <c r="A248">
        <v>24</v>
      </c>
      <c r="B248">
        <v>37</v>
      </c>
      <c r="C248">
        <v>154</v>
      </c>
      <c r="D248">
        <f t="shared" si="30"/>
        <v>15.60128183504807</v>
      </c>
      <c r="E248">
        <f t="shared" si="31"/>
        <v>0</v>
      </c>
      <c r="F248">
        <v>53</v>
      </c>
      <c r="G248">
        <f t="shared" si="32"/>
        <v>16</v>
      </c>
      <c r="H248">
        <v>0</v>
      </c>
      <c r="J248">
        <v>0</v>
      </c>
      <c r="K248">
        <v>0</v>
      </c>
      <c r="L248">
        <v>0</v>
      </c>
      <c r="M248">
        <v>37</v>
      </c>
      <c r="N248">
        <v>4</v>
      </c>
      <c r="O248">
        <f t="shared" si="33"/>
        <v>37.571428571428569</v>
      </c>
      <c r="P248">
        <v>0</v>
      </c>
      <c r="Q248">
        <v>0</v>
      </c>
      <c r="R248">
        <v>0</v>
      </c>
      <c r="T248">
        <v>0</v>
      </c>
      <c r="U248">
        <v>0</v>
      </c>
      <c r="V248">
        <v>2960</v>
      </c>
      <c r="W248">
        <v>9</v>
      </c>
      <c r="X248">
        <v>0</v>
      </c>
      <c r="Y248">
        <v>0</v>
      </c>
      <c r="AA248">
        <f t="shared" si="34"/>
        <v>0</v>
      </c>
      <c r="AB248" t="str">
        <f t="shared" si="35"/>
        <v>0</v>
      </c>
      <c r="AC248">
        <f t="shared" si="36"/>
        <v>0</v>
      </c>
      <c r="AD248">
        <f t="shared" si="37"/>
        <v>0</v>
      </c>
      <c r="AE248">
        <f t="shared" si="38"/>
        <v>0</v>
      </c>
      <c r="AF248">
        <f t="shared" si="39"/>
        <v>0</v>
      </c>
    </row>
    <row r="249" spans="1:32" x14ac:dyDescent="0.3">
      <c r="A249">
        <v>22</v>
      </c>
      <c r="B249">
        <v>45</v>
      </c>
      <c r="C249">
        <v>168</v>
      </c>
      <c r="D249">
        <f t="shared" si="30"/>
        <v>15.94387755102041</v>
      </c>
      <c r="E249">
        <f t="shared" si="31"/>
        <v>0</v>
      </c>
      <c r="F249">
        <v>63</v>
      </c>
      <c r="G249">
        <f t="shared" si="32"/>
        <v>18</v>
      </c>
      <c r="H249">
        <v>0</v>
      </c>
      <c r="J249">
        <v>0</v>
      </c>
      <c r="K249">
        <v>0</v>
      </c>
      <c r="L249">
        <v>0</v>
      </c>
      <c r="M249">
        <v>38</v>
      </c>
      <c r="N249">
        <v>4</v>
      </c>
      <c r="O249">
        <f t="shared" si="33"/>
        <v>38.571428571428569</v>
      </c>
      <c r="P249">
        <v>0</v>
      </c>
      <c r="Q249">
        <v>0</v>
      </c>
      <c r="R249">
        <v>0</v>
      </c>
      <c r="T249">
        <v>0</v>
      </c>
      <c r="U249">
        <v>0</v>
      </c>
      <c r="V249">
        <v>2740</v>
      </c>
      <c r="W249">
        <v>9</v>
      </c>
      <c r="X249">
        <v>0</v>
      </c>
      <c r="Y249">
        <v>0</v>
      </c>
      <c r="AA249">
        <f t="shared" si="34"/>
        <v>0</v>
      </c>
      <c r="AB249" t="str">
        <f t="shared" si="35"/>
        <v>0</v>
      </c>
      <c r="AC249">
        <f t="shared" si="36"/>
        <v>0</v>
      </c>
      <c r="AD249">
        <f t="shared" si="37"/>
        <v>0</v>
      </c>
      <c r="AE249">
        <f t="shared" si="38"/>
        <v>0</v>
      </c>
      <c r="AF249">
        <f t="shared" si="39"/>
        <v>0</v>
      </c>
    </row>
    <row r="250" spans="1:32" x14ac:dyDescent="0.3">
      <c r="A250">
        <v>18</v>
      </c>
      <c r="B250">
        <v>39</v>
      </c>
      <c r="C250">
        <v>156</v>
      </c>
      <c r="D250">
        <f t="shared" si="30"/>
        <v>16.025641025641026</v>
      </c>
      <c r="E250">
        <f t="shared" si="31"/>
        <v>0</v>
      </c>
      <c r="F250">
        <v>50.5</v>
      </c>
      <c r="G250">
        <f t="shared" si="32"/>
        <v>11.5</v>
      </c>
      <c r="H250">
        <v>0</v>
      </c>
      <c r="J250">
        <v>0</v>
      </c>
      <c r="K250">
        <v>0</v>
      </c>
      <c r="L250">
        <v>0</v>
      </c>
      <c r="M250">
        <v>38</v>
      </c>
      <c r="N250">
        <v>5</v>
      </c>
      <c r="O250">
        <f t="shared" si="33"/>
        <v>38.714285714285715</v>
      </c>
      <c r="P250">
        <v>0</v>
      </c>
      <c r="Q250">
        <v>0</v>
      </c>
      <c r="R250">
        <v>0</v>
      </c>
      <c r="T250">
        <v>0</v>
      </c>
      <c r="U250">
        <v>0</v>
      </c>
      <c r="V250">
        <v>2600</v>
      </c>
      <c r="W250">
        <v>8</v>
      </c>
      <c r="X250">
        <v>0</v>
      </c>
      <c r="Y250">
        <v>0</v>
      </c>
      <c r="AA250">
        <f t="shared" si="34"/>
        <v>0</v>
      </c>
      <c r="AB250" t="str">
        <f t="shared" si="35"/>
        <v>0</v>
      </c>
      <c r="AC250">
        <f t="shared" si="36"/>
        <v>0</v>
      </c>
      <c r="AD250">
        <f t="shared" si="37"/>
        <v>0</v>
      </c>
      <c r="AE250">
        <f t="shared" si="38"/>
        <v>0</v>
      </c>
      <c r="AF250">
        <f t="shared" si="39"/>
        <v>0</v>
      </c>
    </row>
    <row r="251" spans="1:32" x14ac:dyDescent="0.3">
      <c r="A251">
        <v>39</v>
      </c>
      <c r="B251">
        <v>67</v>
      </c>
      <c r="C251">
        <v>162</v>
      </c>
      <c r="D251">
        <f t="shared" si="30"/>
        <v>25.529644871208653</v>
      </c>
      <c r="E251">
        <f t="shared" si="31"/>
        <v>3</v>
      </c>
      <c r="F251">
        <v>87</v>
      </c>
      <c r="G251">
        <f t="shared" si="32"/>
        <v>20</v>
      </c>
      <c r="H251">
        <v>1</v>
      </c>
      <c r="I251" t="s">
        <v>32</v>
      </c>
      <c r="J251">
        <v>0</v>
      </c>
      <c r="K251">
        <v>0</v>
      </c>
      <c r="L251">
        <v>1</v>
      </c>
      <c r="M251">
        <v>39</v>
      </c>
      <c r="N251">
        <v>2</v>
      </c>
      <c r="O251">
        <f t="shared" si="33"/>
        <v>39.285714285714285</v>
      </c>
      <c r="P251">
        <v>0</v>
      </c>
      <c r="Q251">
        <v>0</v>
      </c>
      <c r="R251">
        <v>0</v>
      </c>
      <c r="T251">
        <v>0</v>
      </c>
      <c r="U251">
        <v>0</v>
      </c>
      <c r="V251">
        <v>3400</v>
      </c>
      <c r="W251">
        <v>9</v>
      </c>
      <c r="X251">
        <v>0</v>
      </c>
      <c r="Y251">
        <v>0</v>
      </c>
      <c r="AA251">
        <f t="shared" si="34"/>
        <v>1</v>
      </c>
      <c r="AB251" t="str">
        <f t="shared" si="35"/>
        <v>0</v>
      </c>
      <c r="AC251">
        <f t="shared" si="36"/>
        <v>0</v>
      </c>
      <c r="AD251">
        <f t="shared" si="37"/>
        <v>0</v>
      </c>
      <c r="AE251">
        <f t="shared" si="38"/>
        <v>0</v>
      </c>
      <c r="AF251">
        <f t="shared" si="39"/>
        <v>0</v>
      </c>
    </row>
    <row r="252" spans="1:32" x14ac:dyDescent="0.3">
      <c r="A252">
        <v>29</v>
      </c>
      <c r="B252">
        <v>45</v>
      </c>
      <c r="C252">
        <v>152</v>
      </c>
      <c r="D252">
        <f t="shared" si="30"/>
        <v>19.477146814404431</v>
      </c>
      <c r="E252">
        <f t="shared" si="31"/>
        <v>1</v>
      </c>
      <c r="F252">
        <v>50</v>
      </c>
      <c r="G252">
        <f t="shared" si="32"/>
        <v>5</v>
      </c>
      <c r="H252">
        <v>1</v>
      </c>
      <c r="I252" t="s">
        <v>68</v>
      </c>
      <c r="J252">
        <v>0</v>
      </c>
      <c r="K252">
        <v>0</v>
      </c>
      <c r="L252">
        <v>0</v>
      </c>
      <c r="M252">
        <v>40</v>
      </c>
      <c r="N252">
        <v>6</v>
      </c>
      <c r="O252">
        <f t="shared" si="33"/>
        <v>40.857142857142854</v>
      </c>
      <c r="P252">
        <v>0</v>
      </c>
      <c r="Q252">
        <v>0</v>
      </c>
      <c r="R252">
        <v>3</v>
      </c>
      <c r="S252" t="s">
        <v>35</v>
      </c>
      <c r="T252">
        <v>0</v>
      </c>
      <c r="U252">
        <v>0</v>
      </c>
      <c r="V252">
        <v>2920</v>
      </c>
      <c r="W252">
        <v>9</v>
      </c>
      <c r="X252">
        <v>1</v>
      </c>
      <c r="Y252">
        <v>0</v>
      </c>
      <c r="AA252">
        <f t="shared" si="34"/>
        <v>0</v>
      </c>
      <c r="AB252" t="str">
        <f t="shared" si="35"/>
        <v>0</v>
      </c>
      <c r="AC252">
        <f t="shared" si="36"/>
        <v>0</v>
      </c>
      <c r="AD252">
        <f t="shared" si="37"/>
        <v>0</v>
      </c>
      <c r="AE252">
        <f t="shared" si="38"/>
        <v>1</v>
      </c>
      <c r="AF252">
        <f t="shared" si="39"/>
        <v>0</v>
      </c>
    </row>
    <row r="253" spans="1:32" x14ac:dyDescent="0.3">
      <c r="A253">
        <v>33</v>
      </c>
      <c r="B253">
        <v>87</v>
      </c>
      <c r="C253">
        <v>163</v>
      </c>
      <c r="D253">
        <f t="shared" si="30"/>
        <v>32.744928299898383</v>
      </c>
      <c r="E253">
        <f t="shared" si="31"/>
        <v>3</v>
      </c>
      <c r="F253">
        <v>100</v>
      </c>
      <c r="G253">
        <f t="shared" si="32"/>
        <v>13</v>
      </c>
      <c r="H253">
        <v>1</v>
      </c>
      <c r="I253" t="s">
        <v>47</v>
      </c>
      <c r="J253">
        <v>0</v>
      </c>
      <c r="K253">
        <v>1</v>
      </c>
      <c r="L253">
        <v>1</v>
      </c>
      <c r="M253">
        <v>38</v>
      </c>
      <c r="N253">
        <v>6</v>
      </c>
      <c r="O253">
        <f t="shared" si="33"/>
        <v>38.857142857142854</v>
      </c>
      <c r="P253">
        <v>0</v>
      </c>
      <c r="Q253">
        <v>0</v>
      </c>
      <c r="R253">
        <v>3</v>
      </c>
      <c r="S253" t="s">
        <v>34</v>
      </c>
      <c r="T253">
        <v>0</v>
      </c>
      <c r="U253">
        <v>0</v>
      </c>
      <c r="V253">
        <v>3260</v>
      </c>
      <c r="W253">
        <v>9</v>
      </c>
      <c r="X253">
        <v>1</v>
      </c>
      <c r="Y253">
        <v>0</v>
      </c>
      <c r="AA253">
        <f t="shared" si="34"/>
        <v>1</v>
      </c>
      <c r="AB253" t="str">
        <f t="shared" si="35"/>
        <v>0</v>
      </c>
      <c r="AC253">
        <f t="shared" si="36"/>
        <v>0</v>
      </c>
      <c r="AD253">
        <f t="shared" si="37"/>
        <v>0</v>
      </c>
      <c r="AE253">
        <f t="shared" si="38"/>
        <v>1</v>
      </c>
      <c r="AF253">
        <f t="shared" si="39"/>
        <v>0</v>
      </c>
    </row>
    <row r="254" spans="1:32" x14ac:dyDescent="0.3">
      <c r="A254">
        <v>30</v>
      </c>
      <c r="B254">
        <v>50</v>
      </c>
      <c r="C254">
        <v>165</v>
      </c>
      <c r="D254">
        <f t="shared" si="30"/>
        <v>18.365472910927458</v>
      </c>
      <c r="E254">
        <f t="shared" si="31"/>
        <v>0</v>
      </c>
      <c r="F254">
        <v>64</v>
      </c>
      <c r="G254">
        <f t="shared" si="32"/>
        <v>14</v>
      </c>
      <c r="H254">
        <v>0</v>
      </c>
      <c r="J254">
        <v>0</v>
      </c>
      <c r="K254">
        <v>0</v>
      </c>
      <c r="L254">
        <v>3</v>
      </c>
      <c r="M254">
        <v>37</v>
      </c>
      <c r="N254">
        <v>5</v>
      </c>
      <c r="O254">
        <f t="shared" si="33"/>
        <v>37.714285714285715</v>
      </c>
      <c r="P254">
        <v>0</v>
      </c>
      <c r="Q254">
        <v>0</v>
      </c>
      <c r="R254">
        <v>0</v>
      </c>
      <c r="T254">
        <v>0</v>
      </c>
      <c r="U254">
        <v>0</v>
      </c>
      <c r="V254">
        <v>3060</v>
      </c>
      <c r="W254">
        <v>9</v>
      </c>
      <c r="X254">
        <v>0</v>
      </c>
      <c r="Y254">
        <v>0</v>
      </c>
      <c r="AA254">
        <f t="shared" si="34"/>
        <v>0</v>
      </c>
      <c r="AB254" t="str">
        <f t="shared" si="35"/>
        <v>0</v>
      </c>
      <c r="AC254">
        <f t="shared" si="36"/>
        <v>0</v>
      </c>
      <c r="AD254">
        <f t="shared" si="37"/>
        <v>0</v>
      </c>
      <c r="AE254">
        <f t="shared" si="38"/>
        <v>0</v>
      </c>
      <c r="AF254">
        <f t="shared" si="39"/>
        <v>0</v>
      </c>
    </row>
    <row r="255" spans="1:32" x14ac:dyDescent="0.3">
      <c r="A255">
        <v>22</v>
      </c>
      <c r="B255">
        <v>49</v>
      </c>
      <c r="C255">
        <v>157</v>
      </c>
      <c r="D255">
        <f t="shared" si="30"/>
        <v>19.879102600511175</v>
      </c>
      <c r="E255">
        <f t="shared" si="31"/>
        <v>1</v>
      </c>
      <c r="F255">
        <v>72</v>
      </c>
      <c r="G255">
        <f t="shared" si="32"/>
        <v>23</v>
      </c>
      <c r="H255">
        <v>0</v>
      </c>
      <c r="J255">
        <v>0</v>
      </c>
      <c r="K255">
        <v>0</v>
      </c>
      <c r="L255">
        <v>2</v>
      </c>
      <c r="M255">
        <v>39</v>
      </c>
      <c r="N255">
        <v>6</v>
      </c>
      <c r="O255">
        <f t="shared" si="33"/>
        <v>39.857142857142854</v>
      </c>
      <c r="P255">
        <v>0</v>
      </c>
      <c r="Q255">
        <v>0</v>
      </c>
      <c r="R255">
        <v>0</v>
      </c>
      <c r="T255">
        <v>0</v>
      </c>
      <c r="U255">
        <v>0</v>
      </c>
      <c r="V255">
        <v>3280</v>
      </c>
      <c r="W255">
        <v>9</v>
      </c>
      <c r="X255">
        <v>0</v>
      </c>
      <c r="Y255">
        <v>0</v>
      </c>
      <c r="AA255">
        <f t="shared" si="34"/>
        <v>1</v>
      </c>
      <c r="AB255" t="str">
        <f t="shared" si="35"/>
        <v>0</v>
      </c>
      <c r="AC255">
        <f t="shared" si="36"/>
        <v>0</v>
      </c>
      <c r="AD255">
        <f t="shared" si="37"/>
        <v>0</v>
      </c>
      <c r="AE255">
        <f t="shared" si="38"/>
        <v>0</v>
      </c>
      <c r="AF255">
        <f t="shared" si="39"/>
        <v>0</v>
      </c>
    </row>
    <row r="256" spans="1:32" x14ac:dyDescent="0.3">
      <c r="A256">
        <v>32</v>
      </c>
      <c r="B256">
        <v>67</v>
      </c>
      <c r="C256">
        <v>159</v>
      </c>
      <c r="D256">
        <f t="shared" si="30"/>
        <v>26.502116213757365</v>
      </c>
      <c r="E256">
        <f t="shared" si="31"/>
        <v>3</v>
      </c>
      <c r="F256">
        <v>83</v>
      </c>
      <c r="G256">
        <f t="shared" si="32"/>
        <v>16</v>
      </c>
      <c r="H256">
        <v>1</v>
      </c>
      <c r="I256" t="s">
        <v>32</v>
      </c>
      <c r="J256">
        <v>0</v>
      </c>
      <c r="K256">
        <v>0</v>
      </c>
      <c r="L256">
        <v>0</v>
      </c>
      <c r="M256">
        <v>38</v>
      </c>
      <c r="N256">
        <v>5</v>
      </c>
      <c r="O256">
        <f t="shared" si="33"/>
        <v>38.714285714285715</v>
      </c>
      <c r="P256">
        <v>0</v>
      </c>
      <c r="Q256">
        <v>0</v>
      </c>
      <c r="R256">
        <v>3</v>
      </c>
      <c r="S256" t="s">
        <v>43</v>
      </c>
      <c r="T256">
        <v>0</v>
      </c>
      <c r="U256">
        <v>0</v>
      </c>
      <c r="V256">
        <v>3540</v>
      </c>
      <c r="W256">
        <v>9</v>
      </c>
      <c r="X256">
        <v>1</v>
      </c>
      <c r="Y256">
        <v>1</v>
      </c>
      <c r="Z256" t="s">
        <v>69</v>
      </c>
      <c r="AA256">
        <f t="shared" si="34"/>
        <v>1</v>
      </c>
      <c r="AB256" t="str">
        <f t="shared" si="35"/>
        <v>0</v>
      </c>
      <c r="AC256">
        <f t="shared" si="36"/>
        <v>0</v>
      </c>
      <c r="AD256">
        <f t="shared" si="37"/>
        <v>0</v>
      </c>
      <c r="AE256">
        <f t="shared" si="38"/>
        <v>1</v>
      </c>
      <c r="AF256">
        <f t="shared" si="39"/>
        <v>0</v>
      </c>
    </row>
    <row r="257" spans="1:32" x14ac:dyDescent="0.3">
      <c r="A257">
        <v>20</v>
      </c>
      <c r="B257">
        <v>52</v>
      </c>
      <c r="C257">
        <v>168</v>
      </c>
      <c r="D257">
        <f t="shared" si="30"/>
        <v>18.424036281179141</v>
      </c>
      <c r="E257">
        <f t="shared" si="31"/>
        <v>0</v>
      </c>
      <c r="F257">
        <v>67</v>
      </c>
      <c r="G257">
        <f t="shared" si="32"/>
        <v>15</v>
      </c>
      <c r="H257">
        <v>0</v>
      </c>
      <c r="J257">
        <v>0</v>
      </c>
      <c r="K257">
        <v>0</v>
      </c>
      <c r="L257">
        <v>0</v>
      </c>
      <c r="M257">
        <v>39</v>
      </c>
      <c r="N257">
        <v>3</v>
      </c>
      <c r="O257">
        <f t="shared" si="33"/>
        <v>39.428571428571431</v>
      </c>
      <c r="P257">
        <v>0</v>
      </c>
      <c r="Q257">
        <v>0</v>
      </c>
      <c r="R257">
        <v>0</v>
      </c>
      <c r="T257">
        <v>0</v>
      </c>
      <c r="U257">
        <v>0</v>
      </c>
      <c r="V257">
        <v>3050</v>
      </c>
      <c r="W257">
        <v>9</v>
      </c>
      <c r="X257">
        <v>0</v>
      </c>
      <c r="Y257">
        <v>0</v>
      </c>
      <c r="AA257">
        <f t="shared" si="34"/>
        <v>0</v>
      </c>
      <c r="AB257" t="str">
        <f t="shared" si="35"/>
        <v>0</v>
      </c>
      <c r="AC257">
        <f t="shared" si="36"/>
        <v>0</v>
      </c>
      <c r="AD257">
        <f t="shared" si="37"/>
        <v>0</v>
      </c>
      <c r="AE257">
        <f t="shared" si="38"/>
        <v>0</v>
      </c>
      <c r="AF257">
        <f t="shared" si="39"/>
        <v>0</v>
      </c>
    </row>
    <row r="258" spans="1:32" x14ac:dyDescent="0.3">
      <c r="A258">
        <v>43</v>
      </c>
      <c r="B258">
        <v>50</v>
      </c>
      <c r="C258">
        <v>150</v>
      </c>
      <c r="D258">
        <f t="shared" si="30"/>
        <v>22.222222222222221</v>
      </c>
      <c r="E258">
        <f t="shared" si="31"/>
        <v>1</v>
      </c>
      <c r="F258">
        <v>65.8</v>
      </c>
      <c r="G258">
        <f t="shared" si="32"/>
        <v>15.799999999999997</v>
      </c>
      <c r="H258">
        <v>0</v>
      </c>
      <c r="J258">
        <v>0</v>
      </c>
      <c r="K258">
        <v>0</v>
      </c>
      <c r="L258">
        <v>2</v>
      </c>
      <c r="M258">
        <v>39</v>
      </c>
      <c r="N258">
        <v>1</v>
      </c>
      <c r="O258">
        <f t="shared" si="33"/>
        <v>39.142857142857146</v>
      </c>
      <c r="P258">
        <v>0</v>
      </c>
      <c r="Q258">
        <v>0</v>
      </c>
      <c r="R258">
        <v>0</v>
      </c>
      <c r="T258">
        <v>2</v>
      </c>
      <c r="U258">
        <v>0</v>
      </c>
      <c r="V258">
        <v>3050</v>
      </c>
      <c r="W258">
        <v>8</v>
      </c>
      <c r="X258">
        <v>0</v>
      </c>
      <c r="Y258">
        <v>0</v>
      </c>
      <c r="AA258">
        <f t="shared" si="34"/>
        <v>0</v>
      </c>
      <c r="AB258" t="str">
        <f t="shared" si="35"/>
        <v>0</v>
      </c>
      <c r="AC258">
        <f t="shared" si="36"/>
        <v>0</v>
      </c>
      <c r="AD258">
        <f t="shared" si="37"/>
        <v>0</v>
      </c>
      <c r="AE258">
        <f t="shared" si="38"/>
        <v>0</v>
      </c>
      <c r="AF258">
        <f t="shared" si="39"/>
        <v>0</v>
      </c>
    </row>
    <row r="259" spans="1:32" x14ac:dyDescent="0.3">
      <c r="A259">
        <v>28</v>
      </c>
      <c r="B259">
        <v>47.5</v>
      </c>
      <c r="C259">
        <v>164</v>
      </c>
      <c r="D259">
        <f t="shared" si="30"/>
        <v>17.66061867935753</v>
      </c>
      <c r="E259">
        <f t="shared" si="31"/>
        <v>0</v>
      </c>
      <c r="F259">
        <v>63</v>
      </c>
      <c r="G259">
        <f t="shared" si="32"/>
        <v>15.5</v>
      </c>
      <c r="H259">
        <v>0</v>
      </c>
      <c r="J259">
        <v>0</v>
      </c>
      <c r="K259">
        <v>0</v>
      </c>
      <c r="L259">
        <v>1</v>
      </c>
      <c r="M259">
        <v>39</v>
      </c>
      <c r="N259">
        <v>1</v>
      </c>
      <c r="O259">
        <f t="shared" si="33"/>
        <v>39.142857142857146</v>
      </c>
      <c r="P259">
        <v>0</v>
      </c>
      <c r="Q259">
        <v>0</v>
      </c>
      <c r="R259">
        <v>0</v>
      </c>
      <c r="T259">
        <v>0</v>
      </c>
      <c r="U259">
        <v>0</v>
      </c>
      <c r="V259">
        <v>3430</v>
      </c>
      <c r="W259">
        <v>9</v>
      </c>
      <c r="X259">
        <v>0</v>
      </c>
      <c r="Y259">
        <v>0</v>
      </c>
      <c r="AA259">
        <f t="shared" si="34"/>
        <v>0</v>
      </c>
      <c r="AB259" t="str">
        <f t="shared" si="35"/>
        <v>0</v>
      </c>
      <c r="AC259">
        <f t="shared" si="36"/>
        <v>0</v>
      </c>
      <c r="AD259">
        <f t="shared" si="37"/>
        <v>0</v>
      </c>
      <c r="AE259">
        <f t="shared" si="38"/>
        <v>0</v>
      </c>
      <c r="AF259">
        <f t="shared" si="39"/>
        <v>0</v>
      </c>
    </row>
    <row r="260" spans="1:32" x14ac:dyDescent="0.3">
      <c r="A260">
        <v>32</v>
      </c>
      <c r="B260">
        <v>47</v>
      </c>
      <c r="C260">
        <v>153</v>
      </c>
      <c r="D260">
        <f t="shared" ref="D260:D323" si="40">B260/((C260/100)^2)</f>
        <v>20.077747874749029</v>
      </c>
      <c r="E260">
        <f t="shared" ref="E260:E323" si="41">IF(D260&lt;18.5,0,IF(D260&lt;23,1,IF(D260&lt;25,2,3)))</f>
        <v>1</v>
      </c>
      <c r="F260">
        <v>54</v>
      </c>
      <c r="G260">
        <f t="shared" ref="G260:G323" si="42">F260-B260</f>
        <v>7</v>
      </c>
      <c r="H260">
        <v>0</v>
      </c>
      <c r="J260">
        <v>0</v>
      </c>
      <c r="K260">
        <v>0</v>
      </c>
      <c r="L260">
        <v>2</v>
      </c>
      <c r="M260">
        <v>37</v>
      </c>
      <c r="N260">
        <v>1</v>
      </c>
      <c r="O260">
        <f t="shared" ref="O260:O323" si="43">M260+(N260/7)</f>
        <v>37.142857142857146</v>
      </c>
      <c r="P260">
        <v>0</v>
      </c>
      <c r="Q260">
        <v>0</v>
      </c>
      <c r="R260">
        <v>0</v>
      </c>
      <c r="T260">
        <v>0</v>
      </c>
      <c r="U260">
        <v>0</v>
      </c>
      <c r="V260">
        <v>2320</v>
      </c>
      <c r="W260">
        <v>9</v>
      </c>
      <c r="X260">
        <v>1</v>
      </c>
      <c r="Y260">
        <v>0</v>
      </c>
      <c r="AA260">
        <f t="shared" ref="AA260:AA323" si="44">IF(OR(AND(E260=0,G260&gt;18.2),AND(E260=1,G260&gt;15.9),AND(E260=2,G260&gt;11.3),AND(E260=3,G260&gt;9.1)),1,0)</f>
        <v>0</v>
      </c>
      <c r="AB260" t="str">
        <f t="shared" ref="AB260:AB323" si="45">IF(OR(AND(O260&lt;38,V260&gt;3324),AND(O260&lt;39,V260&gt;3540),AND(O260&lt;40,V260&gt;3726),AND(O260&lt;42,V260&gt;3871)),"2",IF(OR(AND(O260&gt;36.9,V260&lt;2323),AND(O260&gt;37.9,V260&lt;2496),AND(O260&gt;38.9,V260&lt;2658),AND(O260&gt;39.9,V260&lt;2805)),"1","0"))</f>
        <v>1</v>
      </c>
      <c r="AC260">
        <f t="shared" ref="AC260:AC323" si="46">IF(V260&lt;4000,0,1)</f>
        <v>0</v>
      </c>
      <c r="AD260">
        <f t="shared" ref="AD260:AD323" si="47">IF(W260&gt;7,0,1)</f>
        <v>0</v>
      </c>
      <c r="AE260">
        <f t="shared" ref="AE260:AE323" si="48">IF(R260=3,1,0)</f>
        <v>0</v>
      </c>
      <c r="AF260">
        <f t="shared" ref="AF260:AF323" si="49">IF(X260=2,1,0)</f>
        <v>0</v>
      </c>
    </row>
    <row r="261" spans="1:32" x14ac:dyDescent="0.3">
      <c r="A261">
        <v>35</v>
      </c>
      <c r="B261">
        <v>58</v>
      </c>
      <c r="C261">
        <v>155</v>
      </c>
      <c r="D261">
        <f t="shared" si="40"/>
        <v>24.141519250780433</v>
      </c>
      <c r="E261">
        <f t="shared" si="41"/>
        <v>2</v>
      </c>
      <c r="F261">
        <v>76</v>
      </c>
      <c r="G261">
        <f t="shared" si="42"/>
        <v>18</v>
      </c>
      <c r="H261">
        <v>0</v>
      </c>
      <c r="J261">
        <v>0</v>
      </c>
      <c r="K261">
        <v>0</v>
      </c>
      <c r="L261">
        <v>0</v>
      </c>
      <c r="M261">
        <v>39</v>
      </c>
      <c r="N261">
        <v>1</v>
      </c>
      <c r="O261">
        <f t="shared" si="43"/>
        <v>39.142857142857146</v>
      </c>
      <c r="P261">
        <v>0</v>
      </c>
      <c r="Q261">
        <v>0</v>
      </c>
      <c r="R261">
        <v>3</v>
      </c>
      <c r="S261" t="s">
        <v>35</v>
      </c>
      <c r="T261">
        <v>0</v>
      </c>
      <c r="U261">
        <v>0</v>
      </c>
      <c r="V261">
        <v>3280</v>
      </c>
      <c r="W261">
        <v>9</v>
      </c>
      <c r="X261">
        <v>1</v>
      </c>
      <c r="Y261">
        <v>0</v>
      </c>
      <c r="AA261">
        <f t="shared" si="44"/>
        <v>1</v>
      </c>
      <c r="AB261" t="str">
        <f t="shared" si="45"/>
        <v>0</v>
      </c>
      <c r="AC261">
        <f t="shared" si="46"/>
        <v>0</v>
      </c>
      <c r="AD261">
        <f t="shared" si="47"/>
        <v>0</v>
      </c>
      <c r="AE261">
        <f t="shared" si="48"/>
        <v>1</v>
      </c>
      <c r="AF261">
        <f t="shared" si="49"/>
        <v>0</v>
      </c>
    </row>
    <row r="262" spans="1:32" x14ac:dyDescent="0.3">
      <c r="A262">
        <v>29</v>
      </c>
      <c r="B262">
        <v>72</v>
      </c>
      <c r="C262">
        <v>155</v>
      </c>
      <c r="D262">
        <f t="shared" si="40"/>
        <v>29.968782518210194</v>
      </c>
      <c r="E262">
        <f t="shared" si="41"/>
        <v>3</v>
      </c>
      <c r="F262">
        <v>83</v>
      </c>
      <c r="G262">
        <f t="shared" si="42"/>
        <v>11</v>
      </c>
      <c r="H262">
        <v>1</v>
      </c>
      <c r="I262" t="s">
        <v>32</v>
      </c>
      <c r="J262">
        <v>0</v>
      </c>
      <c r="K262">
        <v>0</v>
      </c>
      <c r="L262">
        <v>2</v>
      </c>
      <c r="M262">
        <v>39</v>
      </c>
      <c r="N262">
        <v>2</v>
      </c>
      <c r="O262">
        <f t="shared" si="43"/>
        <v>39.285714285714285</v>
      </c>
      <c r="P262">
        <v>0</v>
      </c>
      <c r="Q262">
        <v>0</v>
      </c>
      <c r="R262">
        <v>0</v>
      </c>
      <c r="T262">
        <v>0</v>
      </c>
      <c r="U262">
        <v>0</v>
      </c>
      <c r="V262">
        <v>3410</v>
      </c>
      <c r="W262">
        <v>9</v>
      </c>
      <c r="X262">
        <v>1</v>
      </c>
      <c r="Y262">
        <v>1</v>
      </c>
      <c r="Z262" t="s">
        <v>64</v>
      </c>
      <c r="AA262">
        <f t="shared" si="44"/>
        <v>1</v>
      </c>
      <c r="AB262" t="str">
        <f t="shared" si="45"/>
        <v>0</v>
      </c>
      <c r="AC262">
        <f t="shared" si="46"/>
        <v>0</v>
      </c>
      <c r="AD262">
        <f t="shared" si="47"/>
        <v>0</v>
      </c>
      <c r="AE262">
        <f t="shared" si="48"/>
        <v>0</v>
      </c>
      <c r="AF262">
        <f t="shared" si="49"/>
        <v>0</v>
      </c>
    </row>
    <row r="263" spans="1:32" x14ac:dyDescent="0.3">
      <c r="A263">
        <v>34</v>
      </c>
      <c r="B263">
        <v>51</v>
      </c>
      <c r="C263">
        <v>157</v>
      </c>
      <c r="D263">
        <f t="shared" si="40"/>
        <v>20.690494543389182</v>
      </c>
      <c r="E263">
        <f t="shared" si="41"/>
        <v>1</v>
      </c>
      <c r="F263">
        <v>63</v>
      </c>
      <c r="G263">
        <f t="shared" si="42"/>
        <v>12</v>
      </c>
      <c r="H263">
        <v>0</v>
      </c>
      <c r="J263">
        <v>0</v>
      </c>
      <c r="K263">
        <v>0</v>
      </c>
      <c r="L263">
        <v>0</v>
      </c>
      <c r="M263">
        <v>40</v>
      </c>
      <c r="N263">
        <v>4</v>
      </c>
      <c r="O263">
        <f t="shared" si="43"/>
        <v>40.571428571428569</v>
      </c>
      <c r="P263">
        <v>0</v>
      </c>
      <c r="Q263">
        <v>0</v>
      </c>
      <c r="R263">
        <v>3</v>
      </c>
      <c r="S263" t="s">
        <v>35</v>
      </c>
      <c r="T263">
        <v>0</v>
      </c>
      <c r="U263">
        <v>0</v>
      </c>
      <c r="V263">
        <v>3100</v>
      </c>
      <c r="W263">
        <v>9</v>
      </c>
      <c r="X263">
        <v>1</v>
      </c>
      <c r="Y263">
        <v>0</v>
      </c>
      <c r="AA263">
        <f t="shared" si="44"/>
        <v>0</v>
      </c>
      <c r="AB263" t="str">
        <f t="shared" si="45"/>
        <v>0</v>
      </c>
      <c r="AC263">
        <f t="shared" si="46"/>
        <v>0</v>
      </c>
      <c r="AD263">
        <f t="shared" si="47"/>
        <v>0</v>
      </c>
      <c r="AE263">
        <f t="shared" si="48"/>
        <v>1</v>
      </c>
      <c r="AF263">
        <f t="shared" si="49"/>
        <v>0</v>
      </c>
    </row>
    <row r="264" spans="1:32" x14ac:dyDescent="0.3">
      <c r="A264">
        <v>36</v>
      </c>
      <c r="B264">
        <v>60</v>
      </c>
      <c r="C264">
        <v>156</v>
      </c>
      <c r="D264">
        <f t="shared" si="40"/>
        <v>24.654832347140037</v>
      </c>
      <c r="E264">
        <f t="shared" si="41"/>
        <v>2</v>
      </c>
      <c r="F264">
        <v>70</v>
      </c>
      <c r="G264">
        <f t="shared" si="42"/>
        <v>10</v>
      </c>
      <c r="H264">
        <v>0</v>
      </c>
      <c r="J264">
        <v>0</v>
      </c>
      <c r="K264">
        <v>0</v>
      </c>
      <c r="L264">
        <v>0</v>
      </c>
      <c r="M264">
        <v>40</v>
      </c>
      <c r="N264">
        <v>0</v>
      </c>
      <c r="O264">
        <f t="shared" si="43"/>
        <v>40</v>
      </c>
      <c r="P264">
        <v>1</v>
      </c>
      <c r="Q264">
        <v>0</v>
      </c>
      <c r="R264">
        <v>0</v>
      </c>
      <c r="T264">
        <v>0</v>
      </c>
      <c r="U264">
        <v>0</v>
      </c>
      <c r="V264">
        <v>3080</v>
      </c>
      <c r="W264">
        <v>9</v>
      </c>
      <c r="X264">
        <v>1</v>
      </c>
      <c r="Y264">
        <v>0</v>
      </c>
      <c r="AA264">
        <f t="shared" si="44"/>
        <v>0</v>
      </c>
      <c r="AB264" t="str">
        <f t="shared" si="45"/>
        <v>0</v>
      </c>
      <c r="AC264">
        <f t="shared" si="46"/>
        <v>0</v>
      </c>
      <c r="AD264">
        <f t="shared" si="47"/>
        <v>0</v>
      </c>
      <c r="AE264">
        <f t="shared" si="48"/>
        <v>0</v>
      </c>
      <c r="AF264">
        <f t="shared" si="49"/>
        <v>0</v>
      </c>
    </row>
    <row r="265" spans="1:32" x14ac:dyDescent="0.3">
      <c r="A265">
        <v>31</v>
      </c>
      <c r="B265">
        <v>73</v>
      </c>
      <c r="C265">
        <v>155</v>
      </c>
      <c r="D265">
        <f t="shared" si="40"/>
        <v>30.38501560874089</v>
      </c>
      <c r="E265">
        <f t="shared" si="41"/>
        <v>3</v>
      </c>
      <c r="F265">
        <v>79</v>
      </c>
      <c r="G265">
        <f t="shared" si="42"/>
        <v>6</v>
      </c>
      <c r="H265">
        <v>1</v>
      </c>
      <c r="I265" t="s">
        <v>32</v>
      </c>
      <c r="J265">
        <v>0</v>
      </c>
      <c r="K265">
        <v>1</v>
      </c>
      <c r="L265">
        <v>1</v>
      </c>
      <c r="M265">
        <v>38</v>
      </c>
      <c r="N265">
        <v>5</v>
      </c>
      <c r="O265">
        <f t="shared" si="43"/>
        <v>38.714285714285715</v>
      </c>
      <c r="P265">
        <v>1</v>
      </c>
      <c r="Q265">
        <v>0</v>
      </c>
      <c r="R265">
        <v>3</v>
      </c>
      <c r="S265" t="s">
        <v>34</v>
      </c>
      <c r="T265">
        <v>0</v>
      </c>
      <c r="U265">
        <v>0</v>
      </c>
      <c r="V265">
        <v>3370</v>
      </c>
      <c r="W265">
        <v>8</v>
      </c>
      <c r="X265">
        <v>1</v>
      </c>
      <c r="Y265">
        <v>0</v>
      </c>
      <c r="AA265">
        <f t="shared" si="44"/>
        <v>0</v>
      </c>
      <c r="AB265" t="str">
        <f t="shared" si="45"/>
        <v>0</v>
      </c>
      <c r="AC265">
        <f t="shared" si="46"/>
        <v>0</v>
      </c>
      <c r="AD265">
        <f t="shared" si="47"/>
        <v>0</v>
      </c>
      <c r="AE265">
        <f t="shared" si="48"/>
        <v>1</v>
      </c>
      <c r="AF265">
        <f t="shared" si="49"/>
        <v>0</v>
      </c>
    </row>
    <row r="266" spans="1:32" x14ac:dyDescent="0.3">
      <c r="A266">
        <v>36</v>
      </c>
      <c r="B266">
        <v>51</v>
      </c>
      <c r="C266">
        <v>163</v>
      </c>
      <c r="D266">
        <f t="shared" si="40"/>
        <v>19.195302796492154</v>
      </c>
      <c r="E266">
        <f t="shared" si="41"/>
        <v>1</v>
      </c>
      <c r="F266">
        <v>55</v>
      </c>
      <c r="G266">
        <f t="shared" si="42"/>
        <v>4</v>
      </c>
      <c r="H266">
        <v>0</v>
      </c>
      <c r="J266">
        <v>0</v>
      </c>
      <c r="K266">
        <v>0</v>
      </c>
      <c r="L266">
        <v>0</v>
      </c>
      <c r="M266">
        <v>39</v>
      </c>
      <c r="N266">
        <v>0</v>
      </c>
      <c r="O266">
        <f t="shared" si="43"/>
        <v>39</v>
      </c>
      <c r="P266">
        <v>1</v>
      </c>
      <c r="Q266">
        <v>0</v>
      </c>
      <c r="R266">
        <v>3</v>
      </c>
      <c r="S266" t="s">
        <v>35</v>
      </c>
      <c r="T266">
        <v>0</v>
      </c>
      <c r="U266">
        <v>0</v>
      </c>
      <c r="V266">
        <v>2640</v>
      </c>
      <c r="W266">
        <v>9</v>
      </c>
      <c r="X266">
        <v>1</v>
      </c>
      <c r="Y266">
        <v>0</v>
      </c>
      <c r="AA266">
        <f t="shared" si="44"/>
        <v>0</v>
      </c>
      <c r="AB266" t="str">
        <f t="shared" si="45"/>
        <v>1</v>
      </c>
      <c r="AC266">
        <f t="shared" si="46"/>
        <v>0</v>
      </c>
      <c r="AD266">
        <f t="shared" si="47"/>
        <v>0</v>
      </c>
      <c r="AE266">
        <f t="shared" si="48"/>
        <v>1</v>
      </c>
      <c r="AF266">
        <f t="shared" si="49"/>
        <v>0</v>
      </c>
    </row>
    <row r="267" spans="1:32" x14ac:dyDescent="0.3">
      <c r="A267">
        <v>24</v>
      </c>
      <c r="B267">
        <v>39</v>
      </c>
      <c r="C267">
        <v>150</v>
      </c>
      <c r="D267">
        <f t="shared" si="40"/>
        <v>17.333333333333332</v>
      </c>
      <c r="E267">
        <f t="shared" si="41"/>
        <v>0</v>
      </c>
      <c r="F267">
        <v>50</v>
      </c>
      <c r="G267">
        <f t="shared" si="42"/>
        <v>11</v>
      </c>
      <c r="H267">
        <v>0</v>
      </c>
      <c r="J267">
        <v>0</v>
      </c>
      <c r="K267">
        <v>0</v>
      </c>
      <c r="L267">
        <v>1</v>
      </c>
      <c r="M267">
        <v>40</v>
      </c>
      <c r="N267">
        <v>1</v>
      </c>
      <c r="O267">
        <f t="shared" si="43"/>
        <v>40.142857142857146</v>
      </c>
      <c r="P267">
        <v>0</v>
      </c>
      <c r="Q267">
        <v>0</v>
      </c>
      <c r="R267">
        <v>0</v>
      </c>
      <c r="T267">
        <v>2</v>
      </c>
      <c r="U267">
        <v>0</v>
      </c>
      <c r="V267">
        <v>3030</v>
      </c>
      <c r="W267">
        <v>8</v>
      </c>
      <c r="X267">
        <v>0</v>
      </c>
      <c r="Y267">
        <v>0</v>
      </c>
      <c r="AA267">
        <f t="shared" si="44"/>
        <v>0</v>
      </c>
      <c r="AB267" t="str">
        <f t="shared" si="45"/>
        <v>0</v>
      </c>
      <c r="AC267">
        <f t="shared" si="46"/>
        <v>0</v>
      </c>
      <c r="AD267">
        <f t="shared" si="47"/>
        <v>0</v>
      </c>
      <c r="AE267">
        <f t="shared" si="48"/>
        <v>0</v>
      </c>
      <c r="AF267">
        <f t="shared" si="49"/>
        <v>0</v>
      </c>
    </row>
    <row r="268" spans="1:32" x14ac:dyDescent="0.3">
      <c r="A268">
        <v>27</v>
      </c>
      <c r="B268">
        <v>65</v>
      </c>
      <c r="C268">
        <v>167</v>
      </c>
      <c r="D268">
        <f t="shared" si="40"/>
        <v>23.306680053067517</v>
      </c>
      <c r="E268">
        <f t="shared" si="41"/>
        <v>2</v>
      </c>
      <c r="F268">
        <v>85</v>
      </c>
      <c r="G268">
        <f t="shared" si="42"/>
        <v>20</v>
      </c>
      <c r="H268">
        <v>0</v>
      </c>
      <c r="J268">
        <v>0</v>
      </c>
      <c r="K268">
        <v>0</v>
      </c>
      <c r="L268">
        <v>1</v>
      </c>
      <c r="M268">
        <v>39</v>
      </c>
      <c r="N268">
        <v>4</v>
      </c>
      <c r="O268">
        <f t="shared" si="43"/>
        <v>39.571428571428569</v>
      </c>
      <c r="P268">
        <v>0</v>
      </c>
      <c r="Q268">
        <v>0</v>
      </c>
      <c r="R268">
        <v>0</v>
      </c>
      <c r="T268">
        <v>0</v>
      </c>
      <c r="U268">
        <v>0</v>
      </c>
      <c r="V268">
        <v>3410</v>
      </c>
      <c r="W268">
        <v>9</v>
      </c>
      <c r="X268">
        <v>0</v>
      </c>
      <c r="Y268">
        <v>0</v>
      </c>
      <c r="AA268">
        <f t="shared" si="44"/>
        <v>1</v>
      </c>
      <c r="AB268" t="str">
        <f t="shared" si="45"/>
        <v>0</v>
      </c>
      <c r="AC268">
        <f t="shared" si="46"/>
        <v>0</v>
      </c>
      <c r="AD268">
        <f t="shared" si="47"/>
        <v>0</v>
      </c>
      <c r="AE268">
        <f t="shared" si="48"/>
        <v>0</v>
      </c>
      <c r="AF268">
        <f t="shared" si="49"/>
        <v>0</v>
      </c>
    </row>
    <row r="269" spans="1:32" x14ac:dyDescent="0.3">
      <c r="A269">
        <v>30</v>
      </c>
      <c r="B269">
        <v>55</v>
      </c>
      <c r="C269">
        <v>150</v>
      </c>
      <c r="D269">
        <f t="shared" si="40"/>
        <v>24.444444444444443</v>
      </c>
      <c r="E269">
        <f t="shared" si="41"/>
        <v>2</v>
      </c>
      <c r="F269">
        <v>86</v>
      </c>
      <c r="G269">
        <f t="shared" si="42"/>
        <v>31</v>
      </c>
      <c r="H269">
        <v>0</v>
      </c>
      <c r="J269">
        <v>0</v>
      </c>
      <c r="K269">
        <v>1</v>
      </c>
      <c r="L269">
        <v>1</v>
      </c>
      <c r="M269">
        <v>39</v>
      </c>
      <c r="N269">
        <v>0</v>
      </c>
      <c r="O269">
        <f t="shared" si="43"/>
        <v>39</v>
      </c>
      <c r="P269">
        <v>0</v>
      </c>
      <c r="Q269">
        <v>0</v>
      </c>
      <c r="R269">
        <v>3</v>
      </c>
      <c r="S269" t="s">
        <v>34</v>
      </c>
      <c r="T269">
        <v>0</v>
      </c>
      <c r="U269">
        <v>0</v>
      </c>
      <c r="V269">
        <v>2620</v>
      </c>
      <c r="W269">
        <v>8</v>
      </c>
      <c r="X269">
        <v>1</v>
      </c>
      <c r="Y269">
        <v>0</v>
      </c>
      <c r="AA269">
        <f t="shared" si="44"/>
        <v>1</v>
      </c>
      <c r="AB269" t="str">
        <f t="shared" si="45"/>
        <v>1</v>
      </c>
      <c r="AC269">
        <f t="shared" si="46"/>
        <v>0</v>
      </c>
      <c r="AD269">
        <f t="shared" si="47"/>
        <v>0</v>
      </c>
      <c r="AE269">
        <f t="shared" si="48"/>
        <v>1</v>
      </c>
      <c r="AF269">
        <f t="shared" si="49"/>
        <v>0</v>
      </c>
    </row>
    <row r="270" spans="1:32" x14ac:dyDescent="0.3">
      <c r="A270">
        <v>27</v>
      </c>
      <c r="B270">
        <v>70</v>
      </c>
      <c r="C270">
        <v>150</v>
      </c>
      <c r="D270">
        <f t="shared" si="40"/>
        <v>31.111111111111111</v>
      </c>
      <c r="E270">
        <f t="shared" si="41"/>
        <v>3</v>
      </c>
      <c r="F270">
        <v>82</v>
      </c>
      <c r="G270">
        <f t="shared" si="42"/>
        <v>12</v>
      </c>
      <c r="H270">
        <v>1</v>
      </c>
      <c r="I270" t="s">
        <v>32</v>
      </c>
      <c r="J270">
        <v>0</v>
      </c>
      <c r="K270">
        <v>1</v>
      </c>
      <c r="L270">
        <v>2</v>
      </c>
      <c r="M270">
        <v>38</v>
      </c>
      <c r="N270">
        <v>2</v>
      </c>
      <c r="O270">
        <f t="shared" si="43"/>
        <v>38.285714285714285</v>
      </c>
      <c r="P270">
        <v>0</v>
      </c>
      <c r="Q270">
        <v>0</v>
      </c>
      <c r="R270">
        <v>3</v>
      </c>
      <c r="S270" t="s">
        <v>34</v>
      </c>
      <c r="T270">
        <v>0</v>
      </c>
      <c r="U270">
        <v>0</v>
      </c>
      <c r="V270">
        <v>2940</v>
      </c>
      <c r="W270">
        <v>9</v>
      </c>
      <c r="X270">
        <v>1</v>
      </c>
      <c r="Y270">
        <v>0</v>
      </c>
      <c r="AA270">
        <f t="shared" si="44"/>
        <v>1</v>
      </c>
      <c r="AB270" t="str">
        <f t="shared" si="45"/>
        <v>0</v>
      </c>
      <c r="AC270">
        <f t="shared" si="46"/>
        <v>0</v>
      </c>
      <c r="AD270">
        <f t="shared" si="47"/>
        <v>0</v>
      </c>
      <c r="AE270">
        <f t="shared" si="48"/>
        <v>1</v>
      </c>
      <c r="AF270">
        <f t="shared" si="49"/>
        <v>0</v>
      </c>
    </row>
    <row r="271" spans="1:32" x14ac:dyDescent="0.3">
      <c r="A271">
        <v>36</v>
      </c>
      <c r="B271">
        <v>76</v>
      </c>
      <c r="C271">
        <v>165</v>
      </c>
      <c r="D271">
        <f t="shared" si="40"/>
        <v>27.915518824609737</v>
      </c>
      <c r="E271">
        <f t="shared" si="41"/>
        <v>3</v>
      </c>
      <c r="F271">
        <v>86</v>
      </c>
      <c r="G271">
        <f t="shared" si="42"/>
        <v>10</v>
      </c>
      <c r="H271">
        <v>1</v>
      </c>
      <c r="I271" t="s">
        <v>70</v>
      </c>
      <c r="J271">
        <v>0</v>
      </c>
      <c r="K271">
        <v>0</v>
      </c>
      <c r="L271">
        <v>3</v>
      </c>
      <c r="M271">
        <v>37</v>
      </c>
      <c r="N271">
        <v>6</v>
      </c>
      <c r="O271">
        <f t="shared" si="43"/>
        <v>37.857142857142854</v>
      </c>
      <c r="P271">
        <v>1</v>
      </c>
      <c r="Q271">
        <v>0</v>
      </c>
      <c r="R271">
        <v>0</v>
      </c>
      <c r="T271">
        <v>1</v>
      </c>
      <c r="U271">
        <v>0</v>
      </c>
      <c r="V271">
        <v>3460</v>
      </c>
      <c r="W271">
        <v>10</v>
      </c>
      <c r="X271">
        <v>1</v>
      </c>
      <c r="Y271">
        <v>0</v>
      </c>
      <c r="AA271">
        <f t="shared" si="44"/>
        <v>1</v>
      </c>
      <c r="AB271" t="str">
        <f t="shared" si="45"/>
        <v>2</v>
      </c>
      <c r="AC271">
        <f t="shared" si="46"/>
        <v>0</v>
      </c>
      <c r="AD271">
        <f t="shared" si="47"/>
        <v>0</v>
      </c>
      <c r="AE271">
        <f t="shared" si="48"/>
        <v>0</v>
      </c>
      <c r="AF271">
        <f t="shared" si="49"/>
        <v>0</v>
      </c>
    </row>
    <row r="272" spans="1:32" x14ac:dyDescent="0.3">
      <c r="A272">
        <v>18</v>
      </c>
      <c r="B272">
        <v>53</v>
      </c>
      <c r="C272">
        <v>157</v>
      </c>
      <c r="D272">
        <f t="shared" si="40"/>
        <v>21.501886486267189</v>
      </c>
      <c r="E272">
        <f t="shared" si="41"/>
        <v>1</v>
      </c>
      <c r="F272">
        <v>70</v>
      </c>
      <c r="G272">
        <f t="shared" si="42"/>
        <v>17</v>
      </c>
      <c r="H272">
        <v>0</v>
      </c>
      <c r="J272">
        <v>0</v>
      </c>
      <c r="K272">
        <v>0</v>
      </c>
      <c r="L272">
        <v>0</v>
      </c>
      <c r="M272">
        <v>38</v>
      </c>
      <c r="N272">
        <v>6</v>
      </c>
      <c r="O272">
        <f t="shared" si="43"/>
        <v>38.857142857142854</v>
      </c>
      <c r="P272">
        <v>0</v>
      </c>
      <c r="Q272">
        <v>0</v>
      </c>
      <c r="R272">
        <v>0</v>
      </c>
      <c r="T272">
        <v>0</v>
      </c>
      <c r="U272">
        <v>0</v>
      </c>
      <c r="V272">
        <v>3250</v>
      </c>
      <c r="W272">
        <v>9</v>
      </c>
      <c r="X272">
        <v>0</v>
      </c>
      <c r="Y272">
        <v>0</v>
      </c>
      <c r="AA272">
        <f t="shared" si="44"/>
        <v>1</v>
      </c>
      <c r="AB272" t="str">
        <f t="shared" si="45"/>
        <v>0</v>
      </c>
      <c r="AC272">
        <f t="shared" si="46"/>
        <v>0</v>
      </c>
      <c r="AD272">
        <f t="shared" si="47"/>
        <v>0</v>
      </c>
      <c r="AE272">
        <f t="shared" si="48"/>
        <v>0</v>
      </c>
      <c r="AF272">
        <f t="shared" si="49"/>
        <v>0</v>
      </c>
    </row>
    <row r="273" spans="1:32" x14ac:dyDescent="0.3">
      <c r="A273">
        <v>28</v>
      </c>
      <c r="B273">
        <v>93</v>
      </c>
      <c r="C273">
        <v>160</v>
      </c>
      <c r="D273">
        <f t="shared" si="40"/>
        <v>36.328124999999993</v>
      </c>
      <c r="E273">
        <f t="shared" si="41"/>
        <v>3</v>
      </c>
      <c r="F273">
        <v>97</v>
      </c>
      <c r="G273">
        <f t="shared" si="42"/>
        <v>4</v>
      </c>
      <c r="H273">
        <v>1</v>
      </c>
      <c r="I273" t="s">
        <v>32</v>
      </c>
      <c r="J273">
        <v>0</v>
      </c>
      <c r="K273">
        <v>0</v>
      </c>
      <c r="L273">
        <v>0</v>
      </c>
      <c r="M273">
        <v>39</v>
      </c>
      <c r="N273">
        <v>5</v>
      </c>
      <c r="O273">
        <f t="shared" si="43"/>
        <v>39.714285714285715</v>
      </c>
      <c r="P273">
        <v>0</v>
      </c>
      <c r="Q273">
        <v>1</v>
      </c>
      <c r="R273">
        <v>3</v>
      </c>
      <c r="S273" t="s">
        <v>35</v>
      </c>
      <c r="T273">
        <v>0</v>
      </c>
      <c r="U273">
        <v>0</v>
      </c>
      <c r="V273">
        <v>3550</v>
      </c>
      <c r="W273">
        <v>9</v>
      </c>
      <c r="X273">
        <v>1</v>
      </c>
      <c r="Y273">
        <v>0</v>
      </c>
      <c r="AA273">
        <f t="shared" si="44"/>
        <v>0</v>
      </c>
      <c r="AB273" t="str">
        <f t="shared" si="45"/>
        <v>0</v>
      </c>
      <c r="AC273">
        <f t="shared" si="46"/>
        <v>0</v>
      </c>
      <c r="AD273">
        <f t="shared" si="47"/>
        <v>0</v>
      </c>
      <c r="AE273">
        <f t="shared" si="48"/>
        <v>1</v>
      </c>
      <c r="AF273">
        <f t="shared" si="49"/>
        <v>0</v>
      </c>
    </row>
    <row r="274" spans="1:32" x14ac:dyDescent="0.3">
      <c r="A274">
        <v>40</v>
      </c>
      <c r="B274">
        <v>59</v>
      </c>
      <c r="C274">
        <v>157</v>
      </c>
      <c r="D274">
        <f t="shared" si="40"/>
        <v>23.936062314901211</v>
      </c>
      <c r="E274">
        <f t="shared" si="41"/>
        <v>2</v>
      </c>
      <c r="F274">
        <v>65</v>
      </c>
      <c r="G274">
        <f t="shared" si="42"/>
        <v>6</v>
      </c>
      <c r="H274">
        <v>0</v>
      </c>
      <c r="J274">
        <v>0</v>
      </c>
      <c r="K274">
        <v>0</v>
      </c>
      <c r="L274">
        <v>1</v>
      </c>
      <c r="M274">
        <v>39</v>
      </c>
      <c r="N274">
        <v>3</v>
      </c>
      <c r="O274">
        <f t="shared" si="43"/>
        <v>39.428571428571431</v>
      </c>
      <c r="P274">
        <v>1</v>
      </c>
      <c r="Q274">
        <v>0</v>
      </c>
      <c r="R274">
        <v>0</v>
      </c>
      <c r="T274">
        <v>0</v>
      </c>
      <c r="U274">
        <v>0</v>
      </c>
      <c r="V274">
        <v>3000</v>
      </c>
      <c r="W274">
        <v>8</v>
      </c>
      <c r="X274">
        <v>1</v>
      </c>
      <c r="Y274">
        <v>0</v>
      </c>
      <c r="AA274">
        <f t="shared" si="44"/>
        <v>0</v>
      </c>
      <c r="AB274" t="str">
        <f t="shared" si="45"/>
        <v>0</v>
      </c>
      <c r="AC274">
        <f t="shared" si="46"/>
        <v>0</v>
      </c>
      <c r="AD274">
        <f t="shared" si="47"/>
        <v>0</v>
      </c>
      <c r="AE274">
        <f t="shared" si="48"/>
        <v>0</v>
      </c>
      <c r="AF274">
        <f t="shared" si="49"/>
        <v>0</v>
      </c>
    </row>
    <row r="275" spans="1:32" x14ac:dyDescent="0.3">
      <c r="A275">
        <v>23</v>
      </c>
      <c r="B275">
        <v>49</v>
      </c>
      <c r="C275">
        <v>157</v>
      </c>
      <c r="D275">
        <f t="shared" si="40"/>
        <v>19.879102600511175</v>
      </c>
      <c r="E275">
        <f t="shared" si="41"/>
        <v>1</v>
      </c>
      <c r="F275">
        <v>72</v>
      </c>
      <c r="G275">
        <f t="shared" si="42"/>
        <v>23</v>
      </c>
      <c r="H275">
        <v>0</v>
      </c>
      <c r="J275">
        <v>0</v>
      </c>
      <c r="K275">
        <v>1</v>
      </c>
      <c r="L275">
        <v>1</v>
      </c>
      <c r="M275">
        <v>39</v>
      </c>
      <c r="N275">
        <v>0</v>
      </c>
      <c r="O275">
        <f t="shared" si="43"/>
        <v>39</v>
      </c>
      <c r="P275">
        <v>0</v>
      </c>
      <c r="Q275">
        <v>0</v>
      </c>
      <c r="R275">
        <v>3</v>
      </c>
      <c r="S275" t="s">
        <v>34</v>
      </c>
      <c r="T275">
        <v>0</v>
      </c>
      <c r="U275">
        <v>0</v>
      </c>
      <c r="V275">
        <v>3490</v>
      </c>
      <c r="W275">
        <v>9</v>
      </c>
      <c r="X275">
        <v>1</v>
      </c>
      <c r="Y275">
        <v>0</v>
      </c>
      <c r="AA275">
        <f t="shared" si="44"/>
        <v>1</v>
      </c>
      <c r="AB275" t="str">
        <f t="shared" si="45"/>
        <v>0</v>
      </c>
      <c r="AC275">
        <f t="shared" si="46"/>
        <v>0</v>
      </c>
      <c r="AD275">
        <f t="shared" si="47"/>
        <v>0</v>
      </c>
      <c r="AE275">
        <f t="shared" si="48"/>
        <v>1</v>
      </c>
      <c r="AF275">
        <f t="shared" si="49"/>
        <v>0</v>
      </c>
    </row>
    <row r="276" spans="1:32" x14ac:dyDescent="0.3">
      <c r="A276">
        <v>33</v>
      </c>
      <c r="B276">
        <v>50</v>
      </c>
      <c r="C276">
        <v>155</v>
      </c>
      <c r="D276">
        <f t="shared" si="40"/>
        <v>20.811654526534856</v>
      </c>
      <c r="E276">
        <f t="shared" si="41"/>
        <v>1</v>
      </c>
      <c r="F276">
        <v>54</v>
      </c>
      <c r="G276">
        <f t="shared" si="42"/>
        <v>4</v>
      </c>
      <c r="H276">
        <v>0</v>
      </c>
      <c r="J276">
        <v>0</v>
      </c>
      <c r="K276">
        <v>0</v>
      </c>
      <c r="L276">
        <v>0</v>
      </c>
      <c r="M276">
        <v>40</v>
      </c>
      <c r="N276">
        <v>4</v>
      </c>
      <c r="O276">
        <f t="shared" si="43"/>
        <v>40.571428571428569</v>
      </c>
      <c r="P276">
        <v>1</v>
      </c>
      <c r="Q276">
        <v>0</v>
      </c>
      <c r="R276">
        <v>3</v>
      </c>
      <c r="S276" t="s">
        <v>35</v>
      </c>
      <c r="T276">
        <v>0</v>
      </c>
      <c r="U276">
        <v>0</v>
      </c>
      <c r="V276">
        <v>2700</v>
      </c>
      <c r="W276">
        <v>8</v>
      </c>
      <c r="X276">
        <v>1</v>
      </c>
      <c r="Y276">
        <v>0</v>
      </c>
      <c r="AA276">
        <f t="shared" si="44"/>
        <v>0</v>
      </c>
      <c r="AB276" t="str">
        <f t="shared" si="45"/>
        <v>1</v>
      </c>
      <c r="AC276">
        <f t="shared" si="46"/>
        <v>0</v>
      </c>
      <c r="AD276">
        <f t="shared" si="47"/>
        <v>0</v>
      </c>
      <c r="AE276">
        <f t="shared" si="48"/>
        <v>1</v>
      </c>
      <c r="AF276">
        <f t="shared" si="49"/>
        <v>0</v>
      </c>
    </row>
    <row r="277" spans="1:32" x14ac:dyDescent="0.3">
      <c r="A277">
        <v>18</v>
      </c>
      <c r="B277">
        <v>51</v>
      </c>
      <c r="C277">
        <v>166</v>
      </c>
      <c r="D277">
        <f t="shared" si="40"/>
        <v>18.507766003774133</v>
      </c>
      <c r="E277">
        <f t="shared" si="41"/>
        <v>1</v>
      </c>
      <c r="F277">
        <v>71</v>
      </c>
      <c r="G277">
        <f t="shared" si="42"/>
        <v>20</v>
      </c>
      <c r="H277">
        <v>0</v>
      </c>
      <c r="J277">
        <v>0</v>
      </c>
      <c r="K277">
        <v>0</v>
      </c>
      <c r="L277">
        <v>0</v>
      </c>
      <c r="M277">
        <v>40</v>
      </c>
      <c r="N277">
        <v>1</v>
      </c>
      <c r="O277">
        <f t="shared" si="43"/>
        <v>40.142857142857146</v>
      </c>
      <c r="P277">
        <v>0</v>
      </c>
      <c r="Q277">
        <v>0</v>
      </c>
      <c r="R277">
        <v>0</v>
      </c>
      <c r="T277">
        <v>0</v>
      </c>
      <c r="U277">
        <v>0</v>
      </c>
      <c r="V277">
        <v>3480</v>
      </c>
      <c r="W277">
        <v>9</v>
      </c>
      <c r="X277">
        <v>0</v>
      </c>
      <c r="Y277">
        <v>0</v>
      </c>
      <c r="AA277">
        <f t="shared" si="44"/>
        <v>1</v>
      </c>
      <c r="AB277" t="str">
        <f t="shared" si="45"/>
        <v>0</v>
      </c>
      <c r="AC277">
        <f t="shared" si="46"/>
        <v>0</v>
      </c>
      <c r="AD277">
        <f t="shared" si="47"/>
        <v>0</v>
      </c>
      <c r="AE277">
        <f t="shared" si="48"/>
        <v>0</v>
      </c>
      <c r="AF277">
        <f t="shared" si="49"/>
        <v>0</v>
      </c>
    </row>
    <row r="278" spans="1:32" x14ac:dyDescent="0.3">
      <c r="A278">
        <v>30</v>
      </c>
      <c r="B278">
        <v>70</v>
      </c>
      <c r="C278">
        <v>160</v>
      </c>
      <c r="D278">
        <f t="shared" si="40"/>
        <v>27.343749999999996</v>
      </c>
      <c r="E278">
        <f t="shared" si="41"/>
        <v>3</v>
      </c>
      <c r="F278">
        <v>82</v>
      </c>
      <c r="G278">
        <f t="shared" si="42"/>
        <v>12</v>
      </c>
      <c r="H278">
        <v>1</v>
      </c>
      <c r="I278" t="s">
        <v>32</v>
      </c>
      <c r="J278">
        <v>0</v>
      </c>
      <c r="K278">
        <v>1</v>
      </c>
      <c r="L278">
        <v>1</v>
      </c>
      <c r="M278">
        <v>39</v>
      </c>
      <c r="N278">
        <v>3</v>
      </c>
      <c r="O278">
        <f t="shared" si="43"/>
        <v>39.428571428571431</v>
      </c>
      <c r="P278">
        <v>0</v>
      </c>
      <c r="Q278">
        <v>0</v>
      </c>
      <c r="R278">
        <v>3</v>
      </c>
      <c r="S278" t="s">
        <v>34</v>
      </c>
      <c r="T278">
        <v>0</v>
      </c>
      <c r="U278">
        <v>0</v>
      </c>
      <c r="V278">
        <v>3330</v>
      </c>
      <c r="W278">
        <v>8</v>
      </c>
      <c r="X278">
        <v>1</v>
      </c>
      <c r="Y278">
        <v>0</v>
      </c>
      <c r="AA278">
        <f t="shared" si="44"/>
        <v>1</v>
      </c>
      <c r="AB278" t="str">
        <f t="shared" si="45"/>
        <v>0</v>
      </c>
      <c r="AC278">
        <f t="shared" si="46"/>
        <v>0</v>
      </c>
      <c r="AD278">
        <f t="shared" si="47"/>
        <v>0</v>
      </c>
      <c r="AE278">
        <f t="shared" si="48"/>
        <v>1</v>
      </c>
      <c r="AF278">
        <f t="shared" si="49"/>
        <v>0</v>
      </c>
    </row>
    <row r="279" spans="1:32" x14ac:dyDescent="0.3">
      <c r="A279">
        <v>26</v>
      </c>
      <c r="B279">
        <v>56</v>
      </c>
      <c r="C279">
        <v>160</v>
      </c>
      <c r="D279">
        <f t="shared" si="40"/>
        <v>21.874999999999996</v>
      </c>
      <c r="E279">
        <f t="shared" si="41"/>
        <v>1</v>
      </c>
      <c r="F279">
        <v>61.8</v>
      </c>
      <c r="G279">
        <f t="shared" si="42"/>
        <v>5.7999999999999972</v>
      </c>
      <c r="H279">
        <v>0</v>
      </c>
      <c r="J279">
        <v>0</v>
      </c>
      <c r="K279">
        <v>0</v>
      </c>
      <c r="L279">
        <v>1</v>
      </c>
      <c r="M279">
        <v>40</v>
      </c>
      <c r="N279">
        <v>0</v>
      </c>
      <c r="O279">
        <f t="shared" si="43"/>
        <v>40</v>
      </c>
      <c r="P279">
        <v>0</v>
      </c>
      <c r="Q279">
        <v>0</v>
      </c>
      <c r="R279">
        <v>0</v>
      </c>
      <c r="T279">
        <v>1</v>
      </c>
      <c r="U279">
        <v>0</v>
      </c>
      <c r="V279">
        <v>2990</v>
      </c>
      <c r="W279">
        <v>9</v>
      </c>
      <c r="X279">
        <v>0</v>
      </c>
      <c r="Y279">
        <v>0</v>
      </c>
      <c r="AA279">
        <f t="shared" si="44"/>
        <v>0</v>
      </c>
      <c r="AB279" t="str">
        <f t="shared" si="45"/>
        <v>0</v>
      </c>
      <c r="AC279">
        <f t="shared" si="46"/>
        <v>0</v>
      </c>
      <c r="AD279">
        <f t="shared" si="47"/>
        <v>0</v>
      </c>
      <c r="AE279">
        <f t="shared" si="48"/>
        <v>0</v>
      </c>
      <c r="AF279">
        <f t="shared" si="49"/>
        <v>0</v>
      </c>
    </row>
    <row r="280" spans="1:32" x14ac:dyDescent="0.3">
      <c r="A280">
        <v>33</v>
      </c>
      <c r="B280">
        <v>48</v>
      </c>
      <c r="C280">
        <v>154</v>
      </c>
      <c r="D280">
        <f t="shared" si="40"/>
        <v>20.239500758981279</v>
      </c>
      <c r="E280">
        <f t="shared" si="41"/>
        <v>1</v>
      </c>
      <c r="F280">
        <v>65</v>
      </c>
      <c r="G280">
        <f t="shared" si="42"/>
        <v>17</v>
      </c>
      <c r="H280">
        <v>0</v>
      </c>
      <c r="J280">
        <v>0</v>
      </c>
      <c r="K280">
        <v>0</v>
      </c>
      <c r="L280">
        <v>0</v>
      </c>
      <c r="M280">
        <v>38</v>
      </c>
      <c r="N280">
        <v>4</v>
      </c>
      <c r="O280">
        <f t="shared" si="43"/>
        <v>38.571428571428569</v>
      </c>
      <c r="P280">
        <v>0</v>
      </c>
      <c r="Q280">
        <v>0</v>
      </c>
      <c r="R280">
        <v>0</v>
      </c>
      <c r="T280">
        <v>0</v>
      </c>
      <c r="U280">
        <v>0</v>
      </c>
      <c r="V280">
        <v>3270</v>
      </c>
      <c r="W280">
        <v>9</v>
      </c>
      <c r="X280">
        <v>1</v>
      </c>
      <c r="Y280">
        <v>0</v>
      </c>
      <c r="AA280">
        <f t="shared" si="44"/>
        <v>1</v>
      </c>
      <c r="AB280" t="str">
        <f t="shared" si="45"/>
        <v>0</v>
      </c>
      <c r="AC280">
        <f t="shared" si="46"/>
        <v>0</v>
      </c>
      <c r="AD280">
        <f t="shared" si="47"/>
        <v>0</v>
      </c>
      <c r="AE280">
        <f t="shared" si="48"/>
        <v>0</v>
      </c>
      <c r="AF280">
        <f t="shared" si="49"/>
        <v>0</v>
      </c>
    </row>
    <row r="281" spans="1:32" x14ac:dyDescent="0.3">
      <c r="A281">
        <v>31</v>
      </c>
      <c r="B281">
        <v>52</v>
      </c>
      <c r="C281">
        <v>165</v>
      </c>
      <c r="D281">
        <f t="shared" si="40"/>
        <v>19.100091827364558</v>
      </c>
      <c r="E281">
        <f t="shared" si="41"/>
        <v>1</v>
      </c>
      <c r="F281">
        <v>70</v>
      </c>
      <c r="G281">
        <f t="shared" si="42"/>
        <v>18</v>
      </c>
      <c r="H281">
        <v>0</v>
      </c>
      <c r="J281">
        <v>0</v>
      </c>
      <c r="K281">
        <v>0</v>
      </c>
      <c r="L281">
        <v>0</v>
      </c>
      <c r="M281">
        <v>39</v>
      </c>
      <c r="N281">
        <v>5</v>
      </c>
      <c r="O281">
        <f t="shared" si="43"/>
        <v>39.714285714285715</v>
      </c>
      <c r="P281">
        <v>0</v>
      </c>
      <c r="Q281">
        <v>0</v>
      </c>
      <c r="R281">
        <v>2</v>
      </c>
      <c r="S281" t="s">
        <v>62</v>
      </c>
      <c r="T281">
        <v>0</v>
      </c>
      <c r="U281">
        <v>0</v>
      </c>
      <c r="V281">
        <v>3550</v>
      </c>
      <c r="W281">
        <v>9</v>
      </c>
      <c r="X281">
        <v>1</v>
      </c>
      <c r="Y281">
        <v>0</v>
      </c>
      <c r="AA281">
        <f t="shared" si="44"/>
        <v>1</v>
      </c>
      <c r="AB281" t="str">
        <f t="shared" si="45"/>
        <v>0</v>
      </c>
      <c r="AC281">
        <f t="shared" si="46"/>
        <v>0</v>
      </c>
      <c r="AD281">
        <f t="shared" si="47"/>
        <v>0</v>
      </c>
      <c r="AE281">
        <f t="shared" si="48"/>
        <v>0</v>
      </c>
      <c r="AF281">
        <f t="shared" si="49"/>
        <v>0</v>
      </c>
    </row>
    <row r="282" spans="1:32" x14ac:dyDescent="0.3">
      <c r="A282">
        <v>38</v>
      </c>
      <c r="B282">
        <v>49</v>
      </c>
      <c r="C282">
        <v>155</v>
      </c>
      <c r="D282">
        <f t="shared" si="40"/>
        <v>20.39542143600416</v>
      </c>
      <c r="E282">
        <f t="shared" si="41"/>
        <v>1</v>
      </c>
      <c r="F282">
        <v>49</v>
      </c>
      <c r="G282">
        <f t="shared" si="42"/>
        <v>0</v>
      </c>
      <c r="H282">
        <v>0</v>
      </c>
      <c r="J282">
        <v>0</v>
      </c>
      <c r="K282">
        <v>0</v>
      </c>
      <c r="L282">
        <v>0</v>
      </c>
      <c r="M282">
        <v>37</v>
      </c>
      <c r="N282">
        <v>5</v>
      </c>
      <c r="O282">
        <f t="shared" si="43"/>
        <v>37.714285714285715</v>
      </c>
      <c r="P282">
        <v>0</v>
      </c>
      <c r="Q282">
        <v>0</v>
      </c>
      <c r="R282">
        <v>0</v>
      </c>
      <c r="T282">
        <v>0</v>
      </c>
      <c r="U282">
        <v>0</v>
      </c>
      <c r="V282">
        <v>2730</v>
      </c>
      <c r="W282">
        <v>9</v>
      </c>
      <c r="X282">
        <v>1</v>
      </c>
      <c r="Y282">
        <v>0</v>
      </c>
      <c r="AA282">
        <f t="shared" si="44"/>
        <v>0</v>
      </c>
      <c r="AB282" t="str">
        <f t="shared" si="45"/>
        <v>0</v>
      </c>
      <c r="AC282">
        <f t="shared" si="46"/>
        <v>0</v>
      </c>
      <c r="AD282">
        <f t="shared" si="47"/>
        <v>0</v>
      </c>
      <c r="AE282">
        <f t="shared" si="48"/>
        <v>0</v>
      </c>
      <c r="AF282">
        <f t="shared" si="49"/>
        <v>0</v>
      </c>
    </row>
    <row r="283" spans="1:32" x14ac:dyDescent="0.3">
      <c r="A283">
        <v>36</v>
      </c>
      <c r="B283">
        <v>71</v>
      </c>
      <c r="C283">
        <v>160</v>
      </c>
      <c r="D283">
        <f t="shared" si="40"/>
        <v>27.734374999999993</v>
      </c>
      <c r="E283">
        <f t="shared" si="41"/>
        <v>3</v>
      </c>
      <c r="F283">
        <v>79</v>
      </c>
      <c r="G283">
        <f t="shared" si="42"/>
        <v>8</v>
      </c>
      <c r="H283">
        <v>1</v>
      </c>
      <c r="I283" t="s">
        <v>32</v>
      </c>
      <c r="J283">
        <v>0</v>
      </c>
      <c r="K283">
        <v>0</v>
      </c>
      <c r="L283">
        <v>1</v>
      </c>
      <c r="M283">
        <v>38</v>
      </c>
      <c r="N283">
        <v>1</v>
      </c>
      <c r="O283">
        <f t="shared" si="43"/>
        <v>38.142857142857146</v>
      </c>
      <c r="P283">
        <v>1</v>
      </c>
      <c r="Q283">
        <v>0</v>
      </c>
      <c r="R283">
        <v>0</v>
      </c>
      <c r="T283">
        <v>0</v>
      </c>
      <c r="U283">
        <v>0</v>
      </c>
      <c r="V283">
        <v>2770</v>
      </c>
      <c r="W283">
        <v>9</v>
      </c>
      <c r="X283">
        <v>1</v>
      </c>
      <c r="Y283">
        <v>0</v>
      </c>
      <c r="AA283">
        <f t="shared" si="44"/>
        <v>0</v>
      </c>
      <c r="AB283" t="str">
        <f t="shared" si="45"/>
        <v>0</v>
      </c>
      <c r="AC283">
        <f t="shared" si="46"/>
        <v>0</v>
      </c>
      <c r="AD283">
        <f t="shared" si="47"/>
        <v>0</v>
      </c>
      <c r="AE283">
        <f t="shared" si="48"/>
        <v>0</v>
      </c>
      <c r="AF283">
        <f t="shared" si="49"/>
        <v>0</v>
      </c>
    </row>
    <row r="284" spans="1:32" x14ac:dyDescent="0.3">
      <c r="A284">
        <v>23</v>
      </c>
      <c r="B284">
        <v>53</v>
      </c>
      <c r="C284">
        <v>162</v>
      </c>
      <c r="D284">
        <f t="shared" si="40"/>
        <v>20.195092211553114</v>
      </c>
      <c r="E284">
        <f t="shared" si="41"/>
        <v>1</v>
      </c>
      <c r="F284">
        <v>66</v>
      </c>
      <c r="G284">
        <f t="shared" si="42"/>
        <v>13</v>
      </c>
      <c r="H284">
        <v>0</v>
      </c>
      <c r="J284">
        <v>0</v>
      </c>
      <c r="K284">
        <v>0</v>
      </c>
      <c r="L284">
        <v>1</v>
      </c>
      <c r="M284">
        <v>40</v>
      </c>
      <c r="N284">
        <v>1</v>
      </c>
      <c r="O284">
        <f t="shared" si="43"/>
        <v>40.142857142857146</v>
      </c>
      <c r="P284">
        <v>0</v>
      </c>
      <c r="Q284">
        <v>0</v>
      </c>
      <c r="R284">
        <v>0</v>
      </c>
      <c r="T284">
        <v>0</v>
      </c>
      <c r="U284">
        <v>0</v>
      </c>
      <c r="V284">
        <v>2980</v>
      </c>
      <c r="W284">
        <v>10</v>
      </c>
      <c r="X284">
        <v>1</v>
      </c>
      <c r="Y284">
        <v>0</v>
      </c>
      <c r="AA284">
        <f t="shared" si="44"/>
        <v>0</v>
      </c>
      <c r="AB284" t="str">
        <f t="shared" si="45"/>
        <v>0</v>
      </c>
      <c r="AC284">
        <f t="shared" si="46"/>
        <v>0</v>
      </c>
      <c r="AD284">
        <f t="shared" si="47"/>
        <v>0</v>
      </c>
      <c r="AE284">
        <f t="shared" si="48"/>
        <v>0</v>
      </c>
      <c r="AF284">
        <f t="shared" si="49"/>
        <v>0</v>
      </c>
    </row>
    <row r="285" spans="1:32" x14ac:dyDescent="0.3">
      <c r="A285">
        <v>35</v>
      </c>
      <c r="B285">
        <v>56</v>
      </c>
      <c r="C285">
        <v>167</v>
      </c>
      <c r="D285">
        <f t="shared" si="40"/>
        <v>20.07960127648894</v>
      </c>
      <c r="E285">
        <f t="shared" si="41"/>
        <v>1</v>
      </c>
      <c r="F285">
        <v>68</v>
      </c>
      <c r="G285">
        <f t="shared" si="42"/>
        <v>12</v>
      </c>
      <c r="H285">
        <v>0</v>
      </c>
      <c r="J285">
        <v>0</v>
      </c>
      <c r="K285">
        <v>0</v>
      </c>
      <c r="L285">
        <v>2</v>
      </c>
      <c r="M285">
        <v>38</v>
      </c>
      <c r="N285">
        <v>6</v>
      </c>
      <c r="O285">
        <f t="shared" si="43"/>
        <v>38.857142857142854</v>
      </c>
      <c r="P285">
        <v>0</v>
      </c>
      <c r="Q285">
        <v>0</v>
      </c>
      <c r="R285">
        <v>0</v>
      </c>
      <c r="T285">
        <v>0</v>
      </c>
      <c r="U285">
        <v>0</v>
      </c>
      <c r="V285">
        <v>2570</v>
      </c>
      <c r="W285">
        <v>9</v>
      </c>
      <c r="X285">
        <v>1</v>
      </c>
      <c r="Y285">
        <v>0</v>
      </c>
      <c r="AA285">
        <f t="shared" si="44"/>
        <v>0</v>
      </c>
      <c r="AB285" t="str">
        <f t="shared" si="45"/>
        <v>0</v>
      </c>
      <c r="AC285">
        <f t="shared" si="46"/>
        <v>0</v>
      </c>
      <c r="AD285">
        <f t="shared" si="47"/>
        <v>0</v>
      </c>
      <c r="AE285">
        <f t="shared" si="48"/>
        <v>0</v>
      </c>
      <c r="AF285">
        <f t="shared" si="49"/>
        <v>0</v>
      </c>
    </row>
    <row r="286" spans="1:32" x14ac:dyDescent="0.3">
      <c r="A286">
        <v>23</v>
      </c>
      <c r="B286">
        <v>53</v>
      </c>
      <c r="C286">
        <v>150</v>
      </c>
      <c r="D286">
        <f t="shared" si="40"/>
        <v>23.555555555555557</v>
      </c>
      <c r="E286">
        <f t="shared" si="41"/>
        <v>2</v>
      </c>
      <c r="F286">
        <v>55</v>
      </c>
      <c r="G286">
        <f t="shared" si="42"/>
        <v>2</v>
      </c>
      <c r="H286">
        <v>0</v>
      </c>
      <c r="J286">
        <v>0</v>
      </c>
      <c r="K286">
        <v>0</v>
      </c>
      <c r="L286">
        <v>0</v>
      </c>
      <c r="M286">
        <v>40</v>
      </c>
      <c r="N286">
        <v>3</v>
      </c>
      <c r="O286">
        <f t="shared" si="43"/>
        <v>40.428571428571431</v>
      </c>
      <c r="P286">
        <v>0</v>
      </c>
      <c r="Q286">
        <v>0</v>
      </c>
      <c r="R286">
        <v>3</v>
      </c>
      <c r="S286" t="s">
        <v>35</v>
      </c>
      <c r="T286">
        <v>0</v>
      </c>
      <c r="U286">
        <v>0</v>
      </c>
      <c r="V286">
        <v>3180</v>
      </c>
      <c r="W286">
        <v>9</v>
      </c>
      <c r="X286">
        <v>1</v>
      </c>
      <c r="Y286">
        <v>0</v>
      </c>
      <c r="AA286">
        <f t="shared" si="44"/>
        <v>0</v>
      </c>
      <c r="AB286" t="str">
        <f t="shared" si="45"/>
        <v>0</v>
      </c>
      <c r="AC286">
        <f t="shared" si="46"/>
        <v>0</v>
      </c>
      <c r="AD286">
        <f t="shared" si="47"/>
        <v>0</v>
      </c>
      <c r="AE286">
        <f t="shared" si="48"/>
        <v>1</v>
      </c>
      <c r="AF286">
        <f t="shared" si="49"/>
        <v>0</v>
      </c>
    </row>
    <row r="287" spans="1:32" x14ac:dyDescent="0.3">
      <c r="A287">
        <v>29</v>
      </c>
      <c r="B287">
        <v>50</v>
      </c>
      <c r="C287">
        <v>151.5</v>
      </c>
      <c r="D287">
        <f t="shared" si="40"/>
        <v>21.784356653487134</v>
      </c>
      <c r="E287">
        <f t="shared" si="41"/>
        <v>1</v>
      </c>
      <c r="F287">
        <v>65</v>
      </c>
      <c r="G287">
        <f t="shared" si="42"/>
        <v>15</v>
      </c>
      <c r="H287">
        <v>0</v>
      </c>
      <c r="J287">
        <v>0</v>
      </c>
      <c r="K287">
        <v>0</v>
      </c>
      <c r="L287">
        <v>0</v>
      </c>
      <c r="M287">
        <v>40</v>
      </c>
      <c r="N287">
        <v>2</v>
      </c>
      <c r="O287">
        <f t="shared" si="43"/>
        <v>40.285714285714285</v>
      </c>
      <c r="P287">
        <v>0</v>
      </c>
      <c r="Q287">
        <v>0</v>
      </c>
      <c r="R287">
        <v>0</v>
      </c>
      <c r="T287">
        <v>0</v>
      </c>
      <c r="U287">
        <v>0</v>
      </c>
      <c r="V287">
        <v>3560</v>
      </c>
      <c r="W287">
        <v>7</v>
      </c>
      <c r="X287">
        <v>1</v>
      </c>
      <c r="Y287">
        <v>0</v>
      </c>
      <c r="AA287">
        <f t="shared" si="44"/>
        <v>0</v>
      </c>
      <c r="AB287" t="str">
        <f t="shared" si="45"/>
        <v>0</v>
      </c>
      <c r="AC287">
        <f t="shared" si="46"/>
        <v>0</v>
      </c>
      <c r="AD287">
        <f t="shared" si="47"/>
        <v>1</v>
      </c>
      <c r="AE287">
        <f t="shared" si="48"/>
        <v>0</v>
      </c>
      <c r="AF287">
        <f t="shared" si="49"/>
        <v>0</v>
      </c>
    </row>
    <row r="288" spans="1:32" x14ac:dyDescent="0.3">
      <c r="A288">
        <v>31</v>
      </c>
      <c r="B288">
        <v>70</v>
      </c>
      <c r="C288">
        <v>155</v>
      </c>
      <c r="D288">
        <f t="shared" si="40"/>
        <v>29.136316337148799</v>
      </c>
      <c r="E288">
        <f t="shared" si="41"/>
        <v>3</v>
      </c>
      <c r="F288">
        <v>92</v>
      </c>
      <c r="G288">
        <f t="shared" si="42"/>
        <v>22</v>
      </c>
      <c r="H288">
        <v>1</v>
      </c>
      <c r="I288" t="s">
        <v>71</v>
      </c>
      <c r="J288">
        <v>0</v>
      </c>
      <c r="K288">
        <v>0</v>
      </c>
      <c r="L288">
        <v>3</v>
      </c>
      <c r="M288">
        <v>38</v>
      </c>
      <c r="N288">
        <v>5</v>
      </c>
      <c r="O288">
        <f t="shared" si="43"/>
        <v>38.714285714285715</v>
      </c>
      <c r="P288">
        <v>0</v>
      </c>
      <c r="Q288">
        <v>0</v>
      </c>
      <c r="R288">
        <v>0</v>
      </c>
      <c r="T288">
        <v>1</v>
      </c>
      <c r="U288">
        <v>0</v>
      </c>
      <c r="V288">
        <v>2490</v>
      </c>
      <c r="W288">
        <v>9</v>
      </c>
      <c r="X288">
        <v>1</v>
      </c>
      <c r="Y288">
        <v>0</v>
      </c>
      <c r="AA288">
        <f t="shared" si="44"/>
        <v>1</v>
      </c>
      <c r="AB288" t="str">
        <f t="shared" si="45"/>
        <v>1</v>
      </c>
      <c r="AC288">
        <f t="shared" si="46"/>
        <v>0</v>
      </c>
      <c r="AD288">
        <f t="shared" si="47"/>
        <v>0</v>
      </c>
      <c r="AE288">
        <f t="shared" si="48"/>
        <v>0</v>
      </c>
      <c r="AF288">
        <f t="shared" si="49"/>
        <v>0</v>
      </c>
    </row>
    <row r="289" spans="1:32" x14ac:dyDescent="0.3">
      <c r="A289">
        <v>36</v>
      </c>
      <c r="B289">
        <v>72</v>
      </c>
      <c r="C289">
        <v>155</v>
      </c>
      <c r="D289">
        <f t="shared" si="40"/>
        <v>29.968782518210194</v>
      </c>
      <c r="E289">
        <f t="shared" si="41"/>
        <v>3</v>
      </c>
      <c r="F289">
        <v>80</v>
      </c>
      <c r="G289">
        <f t="shared" si="42"/>
        <v>8</v>
      </c>
      <c r="H289">
        <v>1</v>
      </c>
      <c r="I289" t="s">
        <v>72</v>
      </c>
      <c r="J289">
        <v>0</v>
      </c>
      <c r="K289">
        <v>0</v>
      </c>
      <c r="L289">
        <v>3</v>
      </c>
      <c r="M289">
        <v>39</v>
      </c>
      <c r="N289">
        <v>1</v>
      </c>
      <c r="O289">
        <f t="shared" si="43"/>
        <v>39.142857142857146</v>
      </c>
      <c r="P289">
        <v>1</v>
      </c>
      <c r="Q289">
        <v>1</v>
      </c>
      <c r="R289">
        <v>3</v>
      </c>
      <c r="S289" t="s">
        <v>36</v>
      </c>
      <c r="T289">
        <v>0</v>
      </c>
      <c r="U289">
        <v>0</v>
      </c>
      <c r="V289">
        <v>3120</v>
      </c>
      <c r="W289">
        <v>9</v>
      </c>
      <c r="X289">
        <v>1</v>
      </c>
      <c r="Y289">
        <v>0</v>
      </c>
      <c r="AA289">
        <f t="shared" si="44"/>
        <v>0</v>
      </c>
      <c r="AB289" t="str">
        <f t="shared" si="45"/>
        <v>0</v>
      </c>
      <c r="AC289">
        <f t="shared" si="46"/>
        <v>0</v>
      </c>
      <c r="AD289">
        <f t="shared" si="47"/>
        <v>0</v>
      </c>
      <c r="AE289">
        <f t="shared" si="48"/>
        <v>1</v>
      </c>
      <c r="AF289">
        <f t="shared" si="49"/>
        <v>0</v>
      </c>
    </row>
    <row r="290" spans="1:32" x14ac:dyDescent="0.3">
      <c r="A290">
        <v>21</v>
      </c>
      <c r="B290">
        <v>48</v>
      </c>
      <c r="C290">
        <v>149</v>
      </c>
      <c r="D290">
        <f t="shared" si="40"/>
        <v>21.620647718571234</v>
      </c>
      <c r="E290">
        <f t="shared" si="41"/>
        <v>1</v>
      </c>
      <c r="F290">
        <v>57</v>
      </c>
      <c r="G290">
        <f t="shared" si="42"/>
        <v>9</v>
      </c>
      <c r="H290">
        <v>0</v>
      </c>
      <c r="J290">
        <v>0</v>
      </c>
      <c r="K290">
        <v>0</v>
      </c>
      <c r="L290">
        <v>0</v>
      </c>
      <c r="M290">
        <v>40</v>
      </c>
      <c r="N290">
        <v>0</v>
      </c>
      <c r="O290">
        <f t="shared" si="43"/>
        <v>40</v>
      </c>
      <c r="P290">
        <v>0</v>
      </c>
      <c r="Q290">
        <v>0</v>
      </c>
      <c r="R290">
        <v>0</v>
      </c>
      <c r="T290">
        <v>0</v>
      </c>
      <c r="U290">
        <v>0</v>
      </c>
      <c r="V290">
        <v>2910</v>
      </c>
      <c r="W290">
        <v>9</v>
      </c>
      <c r="X290">
        <v>0</v>
      </c>
      <c r="Y290">
        <v>0</v>
      </c>
      <c r="AA290">
        <f t="shared" si="44"/>
        <v>0</v>
      </c>
      <c r="AB290" t="str">
        <f t="shared" si="45"/>
        <v>0</v>
      </c>
      <c r="AC290">
        <f t="shared" si="46"/>
        <v>0</v>
      </c>
      <c r="AD290">
        <f t="shared" si="47"/>
        <v>0</v>
      </c>
      <c r="AE290">
        <f t="shared" si="48"/>
        <v>0</v>
      </c>
      <c r="AF290">
        <f t="shared" si="49"/>
        <v>0</v>
      </c>
    </row>
    <row r="291" spans="1:32" x14ac:dyDescent="0.3">
      <c r="A291">
        <v>21</v>
      </c>
      <c r="B291">
        <v>55</v>
      </c>
      <c r="C291">
        <v>155</v>
      </c>
      <c r="D291">
        <f t="shared" si="40"/>
        <v>22.892819979188342</v>
      </c>
      <c r="E291">
        <f t="shared" si="41"/>
        <v>1</v>
      </c>
      <c r="F291">
        <v>65</v>
      </c>
      <c r="G291">
        <f t="shared" si="42"/>
        <v>10</v>
      </c>
      <c r="H291">
        <v>0</v>
      </c>
      <c r="J291">
        <v>0</v>
      </c>
      <c r="K291">
        <v>0</v>
      </c>
      <c r="L291">
        <v>0</v>
      </c>
      <c r="M291">
        <v>39</v>
      </c>
      <c r="N291">
        <v>2</v>
      </c>
      <c r="O291">
        <f t="shared" si="43"/>
        <v>39.285714285714285</v>
      </c>
      <c r="P291">
        <v>0</v>
      </c>
      <c r="Q291">
        <v>0</v>
      </c>
      <c r="R291">
        <v>3</v>
      </c>
      <c r="S291" t="s">
        <v>35</v>
      </c>
      <c r="T291">
        <v>0</v>
      </c>
      <c r="U291">
        <v>0</v>
      </c>
      <c r="V291">
        <v>2760</v>
      </c>
      <c r="W291">
        <v>9</v>
      </c>
      <c r="X291">
        <v>1</v>
      </c>
      <c r="Y291">
        <v>0</v>
      </c>
      <c r="AA291">
        <f t="shared" si="44"/>
        <v>0</v>
      </c>
      <c r="AB291" t="str">
        <f t="shared" si="45"/>
        <v>0</v>
      </c>
      <c r="AC291">
        <f t="shared" si="46"/>
        <v>0</v>
      </c>
      <c r="AD291">
        <f t="shared" si="47"/>
        <v>0</v>
      </c>
      <c r="AE291">
        <f t="shared" si="48"/>
        <v>1</v>
      </c>
      <c r="AF291">
        <f t="shared" si="49"/>
        <v>0</v>
      </c>
    </row>
    <row r="292" spans="1:32" x14ac:dyDescent="0.3">
      <c r="A292">
        <v>31</v>
      </c>
      <c r="B292">
        <v>65</v>
      </c>
      <c r="C292">
        <v>155</v>
      </c>
      <c r="D292">
        <f t="shared" si="40"/>
        <v>27.055150884495315</v>
      </c>
      <c r="E292">
        <f t="shared" si="41"/>
        <v>3</v>
      </c>
      <c r="F292">
        <v>78</v>
      </c>
      <c r="G292">
        <f t="shared" si="42"/>
        <v>13</v>
      </c>
      <c r="H292">
        <v>1</v>
      </c>
      <c r="I292" t="s">
        <v>73</v>
      </c>
      <c r="J292">
        <v>0</v>
      </c>
      <c r="K292">
        <v>1</v>
      </c>
      <c r="L292">
        <v>1</v>
      </c>
      <c r="M292">
        <v>38</v>
      </c>
      <c r="N292">
        <v>6</v>
      </c>
      <c r="O292">
        <f t="shared" si="43"/>
        <v>38.857142857142854</v>
      </c>
      <c r="P292">
        <v>0</v>
      </c>
      <c r="Q292">
        <v>0</v>
      </c>
      <c r="R292">
        <v>3</v>
      </c>
      <c r="S292" t="s">
        <v>34</v>
      </c>
      <c r="T292">
        <v>0</v>
      </c>
      <c r="U292">
        <v>0</v>
      </c>
      <c r="V292">
        <v>3070</v>
      </c>
      <c r="W292">
        <v>9</v>
      </c>
      <c r="X292">
        <v>1</v>
      </c>
      <c r="Y292">
        <v>0</v>
      </c>
      <c r="AA292">
        <f t="shared" si="44"/>
        <v>1</v>
      </c>
      <c r="AB292" t="str">
        <f t="shared" si="45"/>
        <v>0</v>
      </c>
      <c r="AC292">
        <f t="shared" si="46"/>
        <v>0</v>
      </c>
      <c r="AD292">
        <f t="shared" si="47"/>
        <v>0</v>
      </c>
      <c r="AE292">
        <f t="shared" si="48"/>
        <v>1</v>
      </c>
      <c r="AF292">
        <f t="shared" si="49"/>
        <v>0</v>
      </c>
    </row>
    <row r="293" spans="1:32" x14ac:dyDescent="0.3">
      <c r="A293">
        <v>38</v>
      </c>
      <c r="B293">
        <v>57</v>
      </c>
      <c r="C293">
        <v>157</v>
      </c>
      <c r="D293">
        <f t="shared" si="40"/>
        <v>23.124670372023203</v>
      </c>
      <c r="E293">
        <f t="shared" si="41"/>
        <v>2</v>
      </c>
      <c r="F293">
        <v>67</v>
      </c>
      <c r="G293">
        <f t="shared" si="42"/>
        <v>10</v>
      </c>
      <c r="H293">
        <v>0</v>
      </c>
      <c r="J293">
        <v>0</v>
      </c>
      <c r="K293">
        <v>0</v>
      </c>
      <c r="L293">
        <v>1</v>
      </c>
      <c r="M293">
        <v>39</v>
      </c>
      <c r="N293">
        <v>6</v>
      </c>
      <c r="O293">
        <f t="shared" si="43"/>
        <v>39.857142857142854</v>
      </c>
      <c r="P293">
        <v>0</v>
      </c>
      <c r="Q293">
        <v>0</v>
      </c>
      <c r="R293">
        <v>0</v>
      </c>
      <c r="T293">
        <v>2</v>
      </c>
      <c r="U293">
        <v>0</v>
      </c>
      <c r="V293">
        <v>3170</v>
      </c>
      <c r="W293">
        <v>9</v>
      </c>
      <c r="X293">
        <v>1</v>
      </c>
      <c r="Y293">
        <v>0</v>
      </c>
      <c r="AA293">
        <f t="shared" si="44"/>
        <v>0</v>
      </c>
      <c r="AB293" t="str">
        <f t="shared" si="45"/>
        <v>0</v>
      </c>
      <c r="AC293">
        <f t="shared" si="46"/>
        <v>0</v>
      </c>
      <c r="AD293">
        <f t="shared" si="47"/>
        <v>0</v>
      </c>
      <c r="AE293">
        <f t="shared" si="48"/>
        <v>0</v>
      </c>
      <c r="AF293">
        <f t="shared" si="49"/>
        <v>0</v>
      </c>
    </row>
    <row r="294" spans="1:32" x14ac:dyDescent="0.3">
      <c r="A294">
        <v>23</v>
      </c>
      <c r="B294">
        <v>69</v>
      </c>
      <c r="C294">
        <v>159</v>
      </c>
      <c r="D294">
        <f t="shared" si="40"/>
        <v>27.29322416043669</v>
      </c>
      <c r="E294">
        <f t="shared" si="41"/>
        <v>3</v>
      </c>
      <c r="F294">
        <v>89</v>
      </c>
      <c r="G294">
        <f t="shared" si="42"/>
        <v>20</v>
      </c>
      <c r="H294">
        <v>1</v>
      </c>
      <c r="I294" t="s">
        <v>32</v>
      </c>
      <c r="J294">
        <v>0</v>
      </c>
      <c r="K294">
        <v>1</v>
      </c>
      <c r="L294">
        <v>1</v>
      </c>
      <c r="M294">
        <v>38</v>
      </c>
      <c r="N294">
        <v>6</v>
      </c>
      <c r="O294">
        <f t="shared" si="43"/>
        <v>38.857142857142854</v>
      </c>
      <c r="P294">
        <v>1</v>
      </c>
      <c r="Q294">
        <v>0</v>
      </c>
      <c r="R294">
        <v>3</v>
      </c>
      <c r="S294" t="s">
        <v>34</v>
      </c>
      <c r="T294">
        <v>0</v>
      </c>
      <c r="U294">
        <v>0</v>
      </c>
      <c r="V294">
        <v>2880</v>
      </c>
      <c r="W294">
        <v>8</v>
      </c>
      <c r="X294">
        <v>1</v>
      </c>
      <c r="Y294">
        <v>0</v>
      </c>
      <c r="AA294">
        <f t="shared" si="44"/>
        <v>1</v>
      </c>
      <c r="AB294" t="str">
        <f t="shared" si="45"/>
        <v>0</v>
      </c>
      <c r="AC294">
        <f t="shared" si="46"/>
        <v>0</v>
      </c>
      <c r="AD294">
        <f t="shared" si="47"/>
        <v>0</v>
      </c>
      <c r="AE294">
        <f t="shared" si="48"/>
        <v>1</v>
      </c>
      <c r="AF294">
        <f t="shared" si="49"/>
        <v>0</v>
      </c>
    </row>
    <row r="295" spans="1:32" x14ac:dyDescent="0.3">
      <c r="A295">
        <v>19</v>
      </c>
      <c r="B295">
        <v>50</v>
      </c>
      <c r="C295">
        <v>150</v>
      </c>
      <c r="D295">
        <f t="shared" si="40"/>
        <v>22.222222222222221</v>
      </c>
      <c r="E295">
        <f t="shared" si="41"/>
        <v>1</v>
      </c>
      <c r="F295">
        <v>57</v>
      </c>
      <c r="G295">
        <f t="shared" si="42"/>
        <v>7</v>
      </c>
      <c r="H295">
        <v>0</v>
      </c>
      <c r="J295">
        <v>0</v>
      </c>
      <c r="K295">
        <v>0</v>
      </c>
      <c r="L295">
        <v>0</v>
      </c>
      <c r="M295">
        <v>37</v>
      </c>
      <c r="N295">
        <v>6</v>
      </c>
      <c r="O295">
        <f t="shared" si="43"/>
        <v>37.857142857142854</v>
      </c>
      <c r="P295">
        <v>0</v>
      </c>
      <c r="Q295">
        <v>0</v>
      </c>
      <c r="R295">
        <v>3</v>
      </c>
      <c r="S295" t="s">
        <v>49</v>
      </c>
      <c r="T295">
        <v>0</v>
      </c>
      <c r="U295">
        <v>0</v>
      </c>
      <c r="V295">
        <v>2490</v>
      </c>
      <c r="W295">
        <v>9</v>
      </c>
      <c r="X295">
        <v>1</v>
      </c>
      <c r="Y295">
        <v>0</v>
      </c>
      <c r="AA295">
        <f t="shared" si="44"/>
        <v>0</v>
      </c>
      <c r="AB295" t="str">
        <f t="shared" si="45"/>
        <v>0</v>
      </c>
      <c r="AC295">
        <f t="shared" si="46"/>
        <v>0</v>
      </c>
      <c r="AD295">
        <f t="shared" si="47"/>
        <v>0</v>
      </c>
      <c r="AE295">
        <f t="shared" si="48"/>
        <v>1</v>
      </c>
      <c r="AF295">
        <f t="shared" si="49"/>
        <v>0</v>
      </c>
    </row>
    <row r="296" spans="1:32" x14ac:dyDescent="0.3">
      <c r="A296">
        <v>15</v>
      </c>
      <c r="B296">
        <v>40</v>
      </c>
      <c r="C296">
        <v>155</v>
      </c>
      <c r="D296">
        <f t="shared" si="40"/>
        <v>16.649323621227886</v>
      </c>
      <c r="E296">
        <f t="shared" si="41"/>
        <v>0</v>
      </c>
      <c r="F296">
        <v>54</v>
      </c>
      <c r="G296">
        <f t="shared" si="42"/>
        <v>14</v>
      </c>
      <c r="H296">
        <v>0</v>
      </c>
      <c r="J296">
        <v>0</v>
      </c>
      <c r="K296">
        <v>0</v>
      </c>
      <c r="L296">
        <v>0</v>
      </c>
      <c r="M296">
        <v>37</v>
      </c>
      <c r="N296">
        <v>0</v>
      </c>
      <c r="O296">
        <f t="shared" si="43"/>
        <v>37</v>
      </c>
      <c r="P296">
        <v>0</v>
      </c>
      <c r="Q296">
        <v>0</v>
      </c>
      <c r="R296">
        <v>0</v>
      </c>
      <c r="T296">
        <v>0</v>
      </c>
      <c r="U296">
        <v>0</v>
      </c>
      <c r="V296">
        <v>2780</v>
      </c>
      <c r="W296">
        <v>8</v>
      </c>
      <c r="X296">
        <v>1</v>
      </c>
      <c r="Y296">
        <v>0</v>
      </c>
      <c r="AA296">
        <f t="shared" si="44"/>
        <v>0</v>
      </c>
      <c r="AB296" t="str">
        <f t="shared" si="45"/>
        <v>0</v>
      </c>
      <c r="AC296">
        <f t="shared" si="46"/>
        <v>0</v>
      </c>
      <c r="AD296">
        <f t="shared" si="47"/>
        <v>0</v>
      </c>
      <c r="AE296">
        <f t="shared" si="48"/>
        <v>0</v>
      </c>
      <c r="AF296">
        <f t="shared" si="49"/>
        <v>0</v>
      </c>
    </row>
    <row r="297" spans="1:32" x14ac:dyDescent="0.3">
      <c r="A297">
        <v>32</v>
      </c>
      <c r="B297">
        <v>58</v>
      </c>
      <c r="C297">
        <v>165</v>
      </c>
      <c r="D297">
        <f t="shared" si="40"/>
        <v>21.30394857667585</v>
      </c>
      <c r="E297">
        <f t="shared" si="41"/>
        <v>1</v>
      </c>
      <c r="F297">
        <v>72</v>
      </c>
      <c r="G297">
        <f t="shared" si="42"/>
        <v>14</v>
      </c>
      <c r="H297">
        <v>0</v>
      </c>
      <c r="J297">
        <v>0</v>
      </c>
      <c r="K297">
        <v>0</v>
      </c>
      <c r="L297">
        <v>0</v>
      </c>
      <c r="M297">
        <v>39</v>
      </c>
      <c r="N297">
        <v>6</v>
      </c>
      <c r="O297">
        <f t="shared" si="43"/>
        <v>39.857142857142854</v>
      </c>
      <c r="P297">
        <v>1</v>
      </c>
      <c r="Q297">
        <v>0</v>
      </c>
      <c r="R297">
        <v>2</v>
      </c>
      <c r="S297" t="s">
        <v>62</v>
      </c>
      <c r="T297">
        <v>0</v>
      </c>
      <c r="U297">
        <v>0</v>
      </c>
      <c r="V297">
        <v>3140</v>
      </c>
      <c r="W297">
        <v>9</v>
      </c>
      <c r="X297">
        <v>1</v>
      </c>
      <c r="Y297">
        <v>0</v>
      </c>
      <c r="AA297">
        <f t="shared" si="44"/>
        <v>0</v>
      </c>
      <c r="AB297" t="str">
        <f t="shared" si="45"/>
        <v>0</v>
      </c>
      <c r="AC297">
        <f t="shared" si="46"/>
        <v>0</v>
      </c>
      <c r="AD297">
        <f t="shared" si="47"/>
        <v>0</v>
      </c>
      <c r="AE297">
        <f t="shared" si="48"/>
        <v>0</v>
      </c>
      <c r="AF297">
        <f t="shared" si="49"/>
        <v>0</v>
      </c>
    </row>
    <row r="298" spans="1:32" x14ac:dyDescent="0.3">
      <c r="A298">
        <v>24</v>
      </c>
      <c r="B298">
        <v>80</v>
      </c>
      <c r="C298">
        <v>160</v>
      </c>
      <c r="D298">
        <f t="shared" si="40"/>
        <v>31.249999999999993</v>
      </c>
      <c r="E298">
        <f t="shared" si="41"/>
        <v>3</v>
      </c>
      <c r="F298">
        <v>80</v>
      </c>
      <c r="G298">
        <f t="shared" si="42"/>
        <v>0</v>
      </c>
      <c r="H298">
        <v>1</v>
      </c>
      <c r="I298" t="s">
        <v>32</v>
      </c>
      <c r="J298">
        <v>0</v>
      </c>
      <c r="K298">
        <v>0</v>
      </c>
      <c r="L298">
        <v>0</v>
      </c>
      <c r="M298">
        <v>40</v>
      </c>
      <c r="N298">
        <v>0</v>
      </c>
      <c r="O298">
        <f t="shared" si="43"/>
        <v>40</v>
      </c>
      <c r="P298">
        <v>0</v>
      </c>
      <c r="Q298">
        <v>0</v>
      </c>
      <c r="R298">
        <v>0</v>
      </c>
      <c r="T298">
        <v>0</v>
      </c>
      <c r="U298">
        <v>0</v>
      </c>
      <c r="V298">
        <v>2980</v>
      </c>
      <c r="W298">
        <v>8</v>
      </c>
      <c r="X298">
        <v>1</v>
      </c>
      <c r="Y298">
        <v>0</v>
      </c>
      <c r="AA298">
        <f t="shared" si="44"/>
        <v>0</v>
      </c>
      <c r="AB298" t="str">
        <f t="shared" si="45"/>
        <v>0</v>
      </c>
      <c r="AC298">
        <f t="shared" si="46"/>
        <v>0</v>
      </c>
      <c r="AD298">
        <f t="shared" si="47"/>
        <v>0</v>
      </c>
      <c r="AE298">
        <f t="shared" si="48"/>
        <v>0</v>
      </c>
      <c r="AF298">
        <f t="shared" si="49"/>
        <v>0</v>
      </c>
    </row>
    <row r="299" spans="1:32" x14ac:dyDescent="0.3">
      <c r="A299">
        <v>36</v>
      </c>
      <c r="B299">
        <v>54</v>
      </c>
      <c r="C299">
        <v>157</v>
      </c>
      <c r="D299">
        <f t="shared" si="40"/>
        <v>21.907582457706194</v>
      </c>
      <c r="E299">
        <f t="shared" si="41"/>
        <v>1</v>
      </c>
      <c r="F299">
        <v>68</v>
      </c>
      <c r="G299">
        <f t="shared" si="42"/>
        <v>14</v>
      </c>
      <c r="H299">
        <v>1</v>
      </c>
      <c r="I299" t="s">
        <v>74</v>
      </c>
      <c r="J299">
        <v>0</v>
      </c>
      <c r="K299">
        <v>0</v>
      </c>
      <c r="L299">
        <v>0</v>
      </c>
      <c r="M299">
        <v>37</v>
      </c>
      <c r="N299">
        <v>5</v>
      </c>
      <c r="O299">
        <f t="shared" si="43"/>
        <v>37.714285714285715</v>
      </c>
      <c r="P299">
        <v>0</v>
      </c>
      <c r="Q299">
        <v>0</v>
      </c>
      <c r="R299">
        <v>3</v>
      </c>
      <c r="S299" t="s">
        <v>42</v>
      </c>
      <c r="T299">
        <v>0</v>
      </c>
      <c r="U299">
        <v>0</v>
      </c>
      <c r="V299">
        <v>3230</v>
      </c>
      <c r="W299">
        <v>9</v>
      </c>
      <c r="X299">
        <v>1</v>
      </c>
      <c r="Y299">
        <v>0</v>
      </c>
      <c r="AA299">
        <f t="shared" si="44"/>
        <v>0</v>
      </c>
      <c r="AB299" t="str">
        <f t="shared" si="45"/>
        <v>0</v>
      </c>
      <c r="AC299">
        <f t="shared" si="46"/>
        <v>0</v>
      </c>
      <c r="AD299">
        <f t="shared" si="47"/>
        <v>0</v>
      </c>
      <c r="AE299">
        <f t="shared" si="48"/>
        <v>1</v>
      </c>
      <c r="AF299">
        <f t="shared" si="49"/>
        <v>0</v>
      </c>
    </row>
    <row r="300" spans="1:32" x14ac:dyDescent="0.3">
      <c r="A300">
        <v>30</v>
      </c>
      <c r="B300">
        <v>80</v>
      </c>
      <c r="C300">
        <v>165</v>
      </c>
      <c r="D300">
        <f t="shared" si="40"/>
        <v>29.384756657483933</v>
      </c>
      <c r="E300">
        <f t="shared" si="41"/>
        <v>3</v>
      </c>
      <c r="F300">
        <v>96</v>
      </c>
      <c r="G300">
        <f t="shared" si="42"/>
        <v>16</v>
      </c>
      <c r="H300">
        <v>1</v>
      </c>
      <c r="I300" t="s">
        <v>32</v>
      </c>
      <c r="J300">
        <v>0</v>
      </c>
      <c r="K300">
        <v>1</v>
      </c>
      <c r="L300">
        <v>2</v>
      </c>
      <c r="M300">
        <v>38</v>
      </c>
      <c r="N300">
        <v>0</v>
      </c>
      <c r="O300">
        <f t="shared" si="43"/>
        <v>38</v>
      </c>
      <c r="P300">
        <v>0</v>
      </c>
      <c r="Q300">
        <v>0</v>
      </c>
      <c r="R300">
        <v>3</v>
      </c>
      <c r="S300" t="s">
        <v>34</v>
      </c>
      <c r="T300">
        <v>0</v>
      </c>
      <c r="U300">
        <v>0</v>
      </c>
      <c r="V300">
        <v>3460</v>
      </c>
      <c r="W300">
        <v>9</v>
      </c>
      <c r="X300">
        <v>1</v>
      </c>
      <c r="Y300">
        <v>0</v>
      </c>
      <c r="AA300">
        <f t="shared" si="44"/>
        <v>1</v>
      </c>
      <c r="AB300" t="str">
        <f t="shared" si="45"/>
        <v>0</v>
      </c>
      <c r="AC300">
        <f t="shared" si="46"/>
        <v>0</v>
      </c>
      <c r="AD300">
        <f t="shared" si="47"/>
        <v>0</v>
      </c>
      <c r="AE300">
        <f t="shared" si="48"/>
        <v>1</v>
      </c>
      <c r="AF300">
        <f t="shared" si="49"/>
        <v>0</v>
      </c>
    </row>
    <row r="301" spans="1:32" x14ac:dyDescent="0.3">
      <c r="A301">
        <v>28</v>
      </c>
      <c r="B301">
        <v>47</v>
      </c>
      <c r="C301">
        <v>160</v>
      </c>
      <c r="D301">
        <f t="shared" si="40"/>
        <v>18.359374999999996</v>
      </c>
      <c r="E301">
        <f t="shared" si="41"/>
        <v>0</v>
      </c>
      <c r="F301">
        <v>62</v>
      </c>
      <c r="G301">
        <f t="shared" si="42"/>
        <v>15</v>
      </c>
      <c r="H301">
        <v>0</v>
      </c>
      <c r="J301">
        <v>0</v>
      </c>
      <c r="K301">
        <v>0</v>
      </c>
      <c r="L301">
        <v>1</v>
      </c>
      <c r="M301">
        <v>39</v>
      </c>
      <c r="N301">
        <v>6</v>
      </c>
      <c r="O301">
        <f t="shared" si="43"/>
        <v>39.857142857142854</v>
      </c>
      <c r="P301">
        <v>0</v>
      </c>
      <c r="Q301">
        <v>0</v>
      </c>
      <c r="R301">
        <v>0</v>
      </c>
      <c r="T301">
        <v>0</v>
      </c>
      <c r="U301">
        <v>0</v>
      </c>
      <c r="V301">
        <v>3750</v>
      </c>
      <c r="W301">
        <v>10</v>
      </c>
      <c r="X301">
        <v>1</v>
      </c>
      <c r="Y301">
        <v>0</v>
      </c>
      <c r="AA301">
        <f t="shared" si="44"/>
        <v>0</v>
      </c>
      <c r="AB301" t="str">
        <f t="shared" si="45"/>
        <v>2</v>
      </c>
      <c r="AC301">
        <f t="shared" si="46"/>
        <v>0</v>
      </c>
      <c r="AD301">
        <f t="shared" si="47"/>
        <v>0</v>
      </c>
      <c r="AE301">
        <f t="shared" si="48"/>
        <v>0</v>
      </c>
      <c r="AF301">
        <f t="shared" si="49"/>
        <v>0</v>
      </c>
    </row>
    <row r="302" spans="1:32" x14ac:dyDescent="0.3">
      <c r="A302">
        <v>30</v>
      </c>
      <c r="B302">
        <v>48</v>
      </c>
      <c r="C302">
        <v>156</v>
      </c>
      <c r="D302">
        <f t="shared" si="40"/>
        <v>19.723865877712029</v>
      </c>
      <c r="E302">
        <f t="shared" si="41"/>
        <v>1</v>
      </c>
      <c r="F302">
        <v>68</v>
      </c>
      <c r="G302">
        <f t="shared" si="42"/>
        <v>20</v>
      </c>
      <c r="H302">
        <v>0</v>
      </c>
      <c r="J302">
        <v>0</v>
      </c>
      <c r="K302">
        <v>0</v>
      </c>
      <c r="L302">
        <v>0</v>
      </c>
      <c r="M302">
        <v>40</v>
      </c>
      <c r="N302">
        <v>1</v>
      </c>
      <c r="O302">
        <f t="shared" si="43"/>
        <v>40.142857142857146</v>
      </c>
      <c r="P302">
        <v>0</v>
      </c>
      <c r="Q302">
        <v>0</v>
      </c>
      <c r="R302">
        <v>3</v>
      </c>
      <c r="S302" t="s">
        <v>49</v>
      </c>
      <c r="T302">
        <v>0</v>
      </c>
      <c r="U302">
        <v>0</v>
      </c>
      <c r="V302">
        <v>2750</v>
      </c>
      <c r="W302">
        <v>8</v>
      </c>
      <c r="X302">
        <v>1</v>
      </c>
      <c r="Y302">
        <v>0</v>
      </c>
      <c r="AA302">
        <f t="shared" si="44"/>
        <v>1</v>
      </c>
      <c r="AB302" t="str">
        <f t="shared" si="45"/>
        <v>1</v>
      </c>
      <c r="AC302">
        <f t="shared" si="46"/>
        <v>0</v>
      </c>
      <c r="AD302">
        <f t="shared" si="47"/>
        <v>0</v>
      </c>
      <c r="AE302">
        <f t="shared" si="48"/>
        <v>1</v>
      </c>
      <c r="AF302">
        <f t="shared" si="49"/>
        <v>0</v>
      </c>
    </row>
    <row r="303" spans="1:32" x14ac:dyDescent="0.3">
      <c r="A303">
        <v>33</v>
      </c>
      <c r="B303">
        <v>94</v>
      </c>
      <c r="C303">
        <v>175</v>
      </c>
      <c r="D303">
        <f t="shared" si="40"/>
        <v>30.693877551020407</v>
      </c>
      <c r="E303">
        <f t="shared" si="41"/>
        <v>3</v>
      </c>
      <c r="F303">
        <v>100</v>
      </c>
      <c r="G303">
        <f t="shared" si="42"/>
        <v>6</v>
      </c>
      <c r="H303">
        <v>1</v>
      </c>
      <c r="I303" t="s">
        <v>32</v>
      </c>
      <c r="J303">
        <v>0</v>
      </c>
      <c r="K303">
        <v>0</v>
      </c>
      <c r="L303">
        <v>3</v>
      </c>
      <c r="M303">
        <v>39</v>
      </c>
      <c r="N303">
        <v>3</v>
      </c>
      <c r="O303">
        <f t="shared" si="43"/>
        <v>39.428571428571431</v>
      </c>
      <c r="P303">
        <v>0</v>
      </c>
      <c r="Q303">
        <v>0</v>
      </c>
      <c r="R303">
        <v>0</v>
      </c>
      <c r="T303">
        <v>2</v>
      </c>
      <c r="U303">
        <v>0</v>
      </c>
      <c r="V303">
        <v>3170</v>
      </c>
      <c r="W303">
        <v>9</v>
      </c>
      <c r="X303">
        <v>1</v>
      </c>
      <c r="Y303">
        <v>0</v>
      </c>
      <c r="AA303">
        <f t="shared" si="44"/>
        <v>0</v>
      </c>
      <c r="AB303" t="str">
        <f t="shared" si="45"/>
        <v>0</v>
      </c>
      <c r="AC303">
        <f t="shared" si="46"/>
        <v>0</v>
      </c>
      <c r="AD303">
        <f t="shared" si="47"/>
        <v>0</v>
      </c>
      <c r="AE303">
        <f t="shared" si="48"/>
        <v>0</v>
      </c>
      <c r="AF303">
        <f t="shared" si="49"/>
        <v>0</v>
      </c>
    </row>
    <row r="304" spans="1:32" x14ac:dyDescent="0.3">
      <c r="A304">
        <v>44</v>
      </c>
      <c r="B304">
        <v>57</v>
      </c>
      <c r="C304">
        <v>155</v>
      </c>
      <c r="D304">
        <f t="shared" si="40"/>
        <v>23.725286160249738</v>
      </c>
      <c r="E304">
        <f t="shared" si="41"/>
        <v>2</v>
      </c>
      <c r="F304">
        <v>70</v>
      </c>
      <c r="G304">
        <f t="shared" si="42"/>
        <v>13</v>
      </c>
      <c r="H304">
        <v>0</v>
      </c>
      <c r="J304">
        <v>0</v>
      </c>
      <c r="K304">
        <v>0</v>
      </c>
      <c r="L304">
        <v>1</v>
      </c>
      <c r="M304">
        <v>38</v>
      </c>
      <c r="N304">
        <v>5</v>
      </c>
      <c r="O304">
        <f t="shared" si="43"/>
        <v>38.714285714285715</v>
      </c>
      <c r="P304">
        <v>0</v>
      </c>
      <c r="Q304">
        <v>1</v>
      </c>
      <c r="R304">
        <v>0</v>
      </c>
      <c r="T304">
        <v>0</v>
      </c>
      <c r="U304">
        <v>0</v>
      </c>
      <c r="V304">
        <v>2900</v>
      </c>
      <c r="W304">
        <v>9</v>
      </c>
      <c r="X304">
        <v>1</v>
      </c>
      <c r="Y304">
        <v>0</v>
      </c>
      <c r="AA304">
        <f t="shared" si="44"/>
        <v>1</v>
      </c>
      <c r="AB304" t="str">
        <f t="shared" si="45"/>
        <v>0</v>
      </c>
      <c r="AC304">
        <f t="shared" si="46"/>
        <v>0</v>
      </c>
      <c r="AD304">
        <f t="shared" si="47"/>
        <v>0</v>
      </c>
      <c r="AE304">
        <f t="shared" si="48"/>
        <v>0</v>
      </c>
      <c r="AF304">
        <f t="shared" si="49"/>
        <v>0</v>
      </c>
    </row>
    <row r="305" spans="1:32" x14ac:dyDescent="0.3">
      <c r="A305">
        <v>24</v>
      </c>
      <c r="B305">
        <v>55</v>
      </c>
      <c r="C305">
        <v>160</v>
      </c>
      <c r="D305">
        <f t="shared" si="40"/>
        <v>21.484374999999996</v>
      </c>
      <c r="E305">
        <f t="shared" si="41"/>
        <v>1</v>
      </c>
      <c r="F305">
        <v>76</v>
      </c>
      <c r="G305">
        <f t="shared" si="42"/>
        <v>21</v>
      </c>
      <c r="H305">
        <v>0</v>
      </c>
      <c r="J305">
        <v>0</v>
      </c>
      <c r="K305">
        <v>0</v>
      </c>
      <c r="L305">
        <v>1</v>
      </c>
      <c r="M305">
        <v>40</v>
      </c>
      <c r="N305">
        <v>1</v>
      </c>
      <c r="O305">
        <f t="shared" si="43"/>
        <v>40.142857142857146</v>
      </c>
      <c r="P305">
        <v>0</v>
      </c>
      <c r="Q305">
        <v>0</v>
      </c>
      <c r="R305">
        <v>3</v>
      </c>
      <c r="S305" t="s">
        <v>35</v>
      </c>
      <c r="T305">
        <v>0</v>
      </c>
      <c r="U305">
        <v>0</v>
      </c>
      <c r="V305">
        <v>3980</v>
      </c>
      <c r="W305">
        <v>9</v>
      </c>
      <c r="X305">
        <v>1</v>
      </c>
      <c r="Y305">
        <v>0</v>
      </c>
      <c r="AA305">
        <f t="shared" si="44"/>
        <v>1</v>
      </c>
      <c r="AB305" t="str">
        <f t="shared" si="45"/>
        <v>2</v>
      </c>
      <c r="AC305">
        <f t="shared" si="46"/>
        <v>0</v>
      </c>
      <c r="AD305">
        <f t="shared" si="47"/>
        <v>0</v>
      </c>
      <c r="AE305">
        <f t="shared" si="48"/>
        <v>1</v>
      </c>
      <c r="AF305">
        <f t="shared" si="49"/>
        <v>0</v>
      </c>
    </row>
    <row r="306" spans="1:32" x14ac:dyDescent="0.3">
      <c r="A306">
        <v>32</v>
      </c>
      <c r="B306">
        <v>56</v>
      </c>
      <c r="C306">
        <v>153</v>
      </c>
      <c r="D306">
        <f t="shared" si="40"/>
        <v>23.92242299970097</v>
      </c>
      <c r="E306">
        <f t="shared" si="41"/>
        <v>2</v>
      </c>
      <c r="F306">
        <v>64</v>
      </c>
      <c r="G306">
        <f t="shared" si="42"/>
        <v>8</v>
      </c>
      <c r="H306">
        <v>0</v>
      </c>
      <c r="J306">
        <v>0</v>
      </c>
      <c r="K306">
        <v>0</v>
      </c>
      <c r="L306">
        <v>1</v>
      </c>
      <c r="M306">
        <v>39</v>
      </c>
      <c r="N306">
        <v>2</v>
      </c>
      <c r="O306">
        <f t="shared" si="43"/>
        <v>39.285714285714285</v>
      </c>
      <c r="P306">
        <v>1</v>
      </c>
      <c r="Q306">
        <v>0</v>
      </c>
      <c r="R306">
        <v>0</v>
      </c>
      <c r="T306">
        <v>0</v>
      </c>
      <c r="U306">
        <v>0</v>
      </c>
      <c r="V306">
        <v>3100</v>
      </c>
      <c r="W306">
        <v>9</v>
      </c>
      <c r="X306">
        <v>1</v>
      </c>
      <c r="Y306">
        <v>0</v>
      </c>
      <c r="AA306">
        <f t="shared" si="44"/>
        <v>0</v>
      </c>
      <c r="AB306" t="str">
        <f t="shared" si="45"/>
        <v>0</v>
      </c>
      <c r="AC306">
        <f t="shared" si="46"/>
        <v>0</v>
      </c>
      <c r="AD306">
        <f t="shared" si="47"/>
        <v>0</v>
      </c>
      <c r="AE306">
        <f t="shared" si="48"/>
        <v>0</v>
      </c>
      <c r="AF306">
        <f t="shared" si="49"/>
        <v>0</v>
      </c>
    </row>
    <row r="307" spans="1:32" x14ac:dyDescent="0.3">
      <c r="A307">
        <v>26</v>
      </c>
      <c r="B307">
        <v>51</v>
      </c>
      <c r="C307">
        <v>150</v>
      </c>
      <c r="D307">
        <f t="shared" si="40"/>
        <v>22.666666666666668</v>
      </c>
      <c r="E307">
        <f t="shared" si="41"/>
        <v>1</v>
      </c>
      <c r="F307">
        <v>66</v>
      </c>
      <c r="G307">
        <f t="shared" si="42"/>
        <v>15</v>
      </c>
      <c r="H307">
        <v>0</v>
      </c>
      <c r="J307">
        <v>0</v>
      </c>
      <c r="K307">
        <v>0</v>
      </c>
      <c r="L307">
        <v>0</v>
      </c>
      <c r="M307">
        <v>37</v>
      </c>
      <c r="N307">
        <v>5</v>
      </c>
      <c r="O307">
        <f t="shared" si="43"/>
        <v>37.714285714285715</v>
      </c>
      <c r="P307">
        <v>0</v>
      </c>
      <c r="Q307">
        <v>1</v>
      </c>
      <c r="R307">
        <v>3</v>
      </c>
      <c r="S307" t="s">
        <v>35</v>
      </c>
      <c r="T307">
        <v>0</v>
      </c>
      <c r="U307">
        <v>0</v>
      </c>
      <c r="V307">
        <v>3050</v>
      </c>
      <c r="W307">
        <v>8</v>
      </c>
      <c r="X307">
        <v>1</v>
      </c>
      <c r="Y307">
        <v>0</v>
      </c>
      <c r="AA307">
        <f t="shared" si="44"/>
        <v>0</v>
      </c>
      <c r="AB307" t="str">
        <f t="shared" si="45"/>
        <v>0</v>
      </c>
      <c r="AC307">
        <f t="shared" si="46"/>
        <v>0</v>
      </c>
      <c r="AD307">
        <f t="shared" si="47"/>
        <v>0</v>
      </c>
      <c r="AE307">
        <f t="shared" si="48"/>
        <v>1</v>
      </c>
      <c r="AF307">
        <f t="shared" si="49"/>
        <v>0</v>
      </c>
    </row>
    <row r="308" spans="1:32" x14ac:dyDescent="0.3">
      <c r="A308">
        <v>19</v>
      </c>
      <c r="B308">
        <v>47</v>
      </c>
      <c r="C308">
        <v>162</v>
      </c>
      <c r="D308">
        <f t="shared" si="40"/>
        <v>17.908855357415025</v>
      </c>
      <c r="E308">
        <f t="shared" si="41"/>
        <v>0</v>
      </c>
      <c r="F308">
        <v>54</v>
      </c>
      <c r="G308">
        <f t="shared" si="42"/>
        <v>7</v>
      </c>
      <c r="H308">
        <v>0</v>
      </c>
      <c r="J308">
        <v>0</v>
      </c>
      <c r="K308">
        <v>0</v>
      </c>
      <c r="L308">
        <v>0</v>
      </c>
      <c r="M308">
        <v>40</v>
      </c>
      <c r="N308">
        <v>4</v>
      </c>
      <c r="O308">
        <f t="shared" si="43"/>
        <v>40.571428571428569</v>
      </c>
      <c r="P308">
        <v>0</v>
      </c>
      <c r="Q308">
        <v>0</v>
      </c>
      <c r="R308">
        <v>0</v>
      </c>
      <c r="T308">
        <v>0</v>
      </c>
      <c r="U308">
        <v>0</v>
      </c>
      <c r="V308">
        <v>3280</v>
      </c>
      <c r="W308">
        <v>9</v>
      </c>
      <c r="X308">
        <v>0</v>
      </c>
      <c r="Y308">
        <v>0</v>
      </c>
      <c r="AA308">
        <f t="shared" si="44"/>
        <v>0</v>
      </c>
      <c r="AB308" t="str">
        <f t="shared" si="45"/>
        <v>0</v>
      </c>
      <c r="AC308">
        <f t="shared" si="46"/>
        <v>0</v>
      </c>
      <c r="AD308">
        <f t="shared" si="47"/>
        <v>0</v>
      </c>
      <c r="AE308">
        <f t="shared" si="48"/>
        <v>0</v>
      </c>
      <c r="AF308">
        <f t="shared" si="49"/>
        <v>0</v>
      </c>
    </row>
    <row r="309" spans="1:32" x14ac:dyDescent="0.3">
      <c r="A309">
        <v>22</v>
      </c>
      <c r="B309">
        <v>39</v>
      </c>
      <c r="C309">
        <v>156</v>
      </c>
      <c r="D309">
        <f t="shared" si="40"/>
        <v>16.025641025641026</v>
      </c>
      <c r="E309">
        <f t="shared" si="41"/>
        <v>0</v>
      </c>
      <c r="F309">
        <v>50</v>
      </c>
      <c r="G309">
        <f t="shared" si="42"/>
        <v>11</v>
      </c>
      <c r="H309">
        <v>0</v>
      </c>
      <c r="J309">
        <v>0</v>
      </c>
      <c r="K309">
        <v>0</v>
      </c>
      <c r="L309">
        <v>1</v>
      </c>
      <c r="M309">
        <v>37</v>
      </c>
      <c r="N309">
        <v>4</v>
      </c>
      <c r="O309">
        <f t="shared" si="43"/>
        <v>37.571428571428569</v>
      </c>
      <c r="P309">
        <v>0</v>
      </c>
      <c r="Q309">
        <v>0</v>
      </c>
      <c r="R309">
        <v>0</v>
      </c>
      <c r="T309">
        <v>2</v>
      </c>
      <c r="U309">
        <v>0</v>
      </c>
      <c r="V309">
        <v>2630</v>
      </c>
      <c r="W309">
        <v>9</v>
      </c>
      <c r="X309">
        <v>0</v>
      </c>
      <c r="Y309">
        <v>0</v>
      </c>
      <c r="AA309">
        <f t="shared" si="44"/>
        <v>0</v>
      </c>
      <c r="AB309" t="str">
        <f t="shared" si="45"/>
        <v>0</v>
      </c>
      <c r="AC309">
        <f t="shared" si="46"/>
        <v>0</v>
      </c>
      <c r="AD309">
        <f t="shared" si="47"/>
        <v>0</v>
      </c>
      <c r="AE309">
        <f t="shared" si="48"/>
        <v>0</v>
      </c>
      <c r="AF309">
        <f t="shared" si="49"/>
        <v>0</v>
      </c>
    </row>
    <row r="310" spans="1:32" x14ac:dyDescent="0.3">
      <c r="A310">
        <v>19</v>
      </c>
      <c r="B310">
        <v>46</v>
      </c>
      <c r="C310">
        <v>170</v>
      </c>
      <c r="D310">
        <f t="shared" si="40"/>
        <v>15.91695501730104</v>
      </c>
      <c r="E310">
        <f t="shared" si="41"/>
        <v>0</v>
      </c>
      <c r="F310">
        <v>61</v>
      </c>
      <c r="G310">
        <f t="shared" si="42"/>
        <v>15</v>
      </c>
      <c r="H310">
        <v>0</v>
      </c>
      <c r="J310">
        <v>0</v>
      </c>
      <c r="K310">
        <v>0</v>
      </c>
      <c r="L310">
        <v>0</v>
      </c>
      <c r="M310">
        <v>39</v>
      </c>
      <c r="N310">
        <v>3</v>
      </c>
      <c r="O310">
        <f t="shared" si="43"/>
        <v>39.428571428571431</v>
      </c>
      <c r="P310">
        <v>0</v>
      </c>
      <c r="Q310">
        <v>0</v>
      </c>
      <c r="R310">
        <v>0</v>
      </c>
      <c r="T310">
        <v>0</v>
      </c>
      <c r="U310">
        <v>0</v>
      </c>
      <c r="V310">
        <v>2870</v>
      </c>
      <c r="W310">
        <v>8</v>
      </c>
      <c r="X310">
        <v>1</v>
      </c>
      <c r="Y310">
        <v>0</v>
      </c>
      <c r="AA310">
        <f t="shared" si="44"/>
        <v>0</v>
      </c>
      <c r="AB310" t="str">
        <f t="shared" si="45"/>
        <v>0</v>
      </c>
      <c r="AC310">
        <f t="shared" si="46"/>
        <v>0</v>
      </c>
      <c r="AD310">
        <f t="shared" si="47"/>
        <v>0</v>
      </c>
      <c r="AE310">
        <f t="shared" si="48"/>
        <v>0</v>
      </c>
      <c r="AF310">
        <f t="shared" si="49"/>
        <v>0</v>
      </c>
    </row>
    <row r="311" spans="1:32" x14ac:dyDescent="0.3">
      <c r="A311">
        <v>26</v>
      </c>
      <c r="B311">
        <v>55</v>
      </c>
      <c r="C311">
        <v>165</v>
      </c>
      <c r="D311">
        <f t="shared" si="40"/>
        <v>20.202020202020204</v>
      </c>
      <c r="E311">
        <f t="shared" si="41"/>
        <v>1</v>
      </c>
      <c r="F311">
        <v>70</v>
      </c>
      <c r="G311">
        <f t="shared" si="42"/>
        <v>15</v>
      </c>
      <c r="H311">
        <v>0</v>
      </c>
      <c r="J311">
        <v>0</v>
      </c>
      <c r="K311">
        <v>0</v>
      </c>
      <c r="L311">
        <v>0</v>
      </c>
      <c r="M311">
        <v>38</v>
      </c>
      <c r="N311">
        <v>3</v>
      </c>
      <c r="O311">
        <f t="shared" si="43"/>
        <v>38.428571428571431</v>
      </c>
      <c r="P311">
        <v>0</v>
      </c>
      <c r="Q311">
        <v>0</v>
      </c>
      <c r="R311">
        <v>0</v>
      </c>
      <c r="T311">
        <v>0</v>
      </c>
      <c r="U311">
        <v>0</v>
      </c>
      <c r="V311">
        <v>2840</v>
      </c>
      <c r="W311">
        <v>9</v>
      </c>
      <c r="X311">
        <v>0</v>
      </c>
      <c r="Y311">
        <v>0</v>
      </c>
      <c r="AA311">
        <f t="shared" si="44"/>
        <v>0</v>
      </c>
      <c r="AB311" t="str">
        <f t="shared" si="45"/>
        <v>0</v>
      </c>
      <c r="AC311">
        <f t="shared" si="46"/>
        <v>0</v>
      </c>
      <c r="AD311">
        <f t="shared" si="47"/>
        <v>0</v>
      </c>
      <c r="AE311">
        <f t="shared" si="48"/>
        <v>0</v>
      </c>
      <c r="AF311">
        <f t="shared" si="49"/>
        <v>0</v>
      </c>
    </row>
    <row r="312" spans="1:32" x14ac:dyDescent="0.3">
      <c r="A312">
        <v>25</v>
      </c>
      <c r="B312">
        <v>52</v>
      </c>
      <c r="C312">
        <v>160</v>
      </c>
      <c r="D312">
        <f t="shared" si="40"/>
        <v>20.312499999999996</v>
      </c>
      <c r="E312">
        <f t="shared" si="41"/>
        <v>1</v>
      </c>
      <c r="F312">
        <v>67</v>
      </c>
      <c r="G312">
        <f t="shared" si="42"/>
        <v>15</v>
      </c>
      <c r="H312">
        <v>0</v>
      </c>
      <c r="J312">
        <v>0</v>
      </c>
      <c r="K312">
        <v>0</v>
      </c>
      <c r="L312">
        <v>1</v>
      </c>
      <c r="M312">
        <v>40</v>
      </c>
      <c r="N312">
        <v>1</v>
      </c>
      <c r="O312">
        <f t="shared" si="43"/>
        <v>40.142857142857146</v>
      </c>
      <c r="P312">
        <v>0</v>
      </c>
      <c r="Q312">
        <v>0</v>
      </c>
      <c r="R312">
        <v>0</v>
      </c>
      <c r="T312">
        <v>0</v>
      </c>
      <c r="U312">
        <v>0</v>
      </c>
      <c r="V312">
        <v>3360</v>
      </c>
      <c r="W312">
        <v>8</v>
      </c>
      <c r="X312">
        <v>0</v>
      </c>
      <c r="Y312">
        <v>0</v>
      </c>
      <c r="AA312">
        <f t="shared" si="44"/>
        <v>0</v>
      </c>
      <c r="AB312" t="str">
        <f t="shared" si="45"/>
        <v>0</v>
      </c>
      <c r="AC312">
        <f t="shared" si="46"/>
        <v>0</v>
      </c>
      <c r="AD312">
        <f t="shared" si="47"/>
        <v>0</v>
      </c>
      <c r="AE312">
        <f t="shared" si="48"/>
        <v>0</v>
      </c>
      <c r="AF312">
        <f t="shared" si="49"/>
        <v>0</v>
      </c>
    </row>
    <row r="313" spans="1:32" x14ac:dyDescent="0.3">
      <c r="A313">
        <v>16</v>
      </c>
      <c r="B313">
        <v>53</v>
      </c>
      <c r="C313">
        <v>166</v>
      </c>
      <c r="D313">
        <f t="shared" si="40"/>
        <v>19.233560749020178</v>
      </c>
      <c r="E313">
        <f t="shared" si="41"/>
        <v>1</v>
      </c>
      <c r="F313">
        <v>58</v>
      </c>
      <c r="G313">
        <f t="shared" si="42"/>
        <v>5</v>
      </c>
      <c r="H313">
        <v>0</v>
      </c>
      <c r="J313">
        <v>0</v>
      </c>
      <c r="K313">
        <v>0</v>
      </c>
      <c r="L313">
        <v>0</v>
      </c>
      <c r="M313">
        <v>38</v>
      </c>
      <c r="N313">
        <v>5</v>
      </c>
      <c r="O313">
        <f t="shared" si="43"/>
        <v>38.714285714285715</v>
      </c>
      <c r="P313">
        <v>0</v>
      </c>
      <c r="Q313">
        <v>0</v>
      </c>
      <c r="R313">
        <v>3</v>
      </c>
      <c r="S313" t="s">
        <v>36</v>
      </c>
      <c r="T313">
        <v>0</v>
      </c>
      <c r="U313">
        <v>0</v>
      </c>
      <c r="V313">
        <v>2600</v>
      </c>
      <c r="W313">
        <v>9</v>
      </c>
      <c r="X313">
        <v>1</v>
      </c>
      <c r="Y313">
        <v>0</v>
      </c>
      <c r="AA313">
        <f t="shared" si="44"/>
        <v>0</v>
      </c>
      <c r="AB313" t="str">
        <f t="shared" si="45"/>
        <v>0</v>
      </c>
      <c r="AC313">
        <f t="shared" si="46"/>
        <v>0</v>
      </c>
      <c r="AD313">
        <f t="shared" si="47"/>
        <v>0</v>
      </c>
      <c r="AE313">
        <f t="shared" si="48"/>
        <v>1</v>
      </c>
      <c r="AF313">
        <f t="shared" si="49"/>
        <v>0</v>
      </c>
    </row>
    <row r="314" spans="1:32" x14ac:dyDescent="0.3">
      <c r="A314">
        <v>25</v>
      </c>
      <c r="B314">
        <v>52</v>
      </c>
      <c r="C314">
        <v>160</v>
      </c>
      <c r="D314">
        <f t="shared" si="40"/>
        <v>20.312499999999996</v>
      </c>
      <c r="E314">
        <f t="shared" si="41"/>
        <v>1</v>
      </c>
      <c r="F314">
        <v>70</v>
      </c>
      <c r="G314">
        <f t="shared" si="42"/>
        <v>18</v>
      </c>
      <c r="H314">
        <v>0</v>
      </c>
      <c r="J314">
        <v>0</v>
      </c>
      <c r="K314">
        <v>0</v>
      </c>
      <c r="L314">
        <v>1</v>
      </c>
      <c r="M314">
        <v>39</v>
      </c>
      <c r="N314">
        <v>2</v>
      </c>
      <c r="O314">
        <f t="shared" si="43"/>
        <v>39.285714285714285</v>
      </c>
      <c r="P314">
        <v>0</v>
      </c>
      <c r="Q314">
        <v>0</v>
      </c>
      <c r="R314">
        <v>0</v>
      </c>
      <c r="T314">
        <v>0</v>
      </c>
      <c r="U314">
        <v>0</v>
      </c>
      <c r="V314">
        <v>3440</v>
      </c>
      <c r="W314">
        <v>9</v>
      </c>
      <c r="X314">
        <v>1</v>
      </c>
      <c r="Y314">
        <v>0</v>
      </c>
      <c r="AA314">
        <f t="shared" si="44"/>
        <v>1</v>
      </c>
      <c r="AB314" t="str">
        <f t="shared" si="45"/>
        <v>0</v>
      </c>
      <c r="AC314">
        <f t="shared" si="46"/>
        <v>0</v>
      </c>
      <c r="AD314">
        <f t="shared" si="47"/>
        <v>0</v>
      </c>
      <c r="AE314">
        <f t="shared" si="48"/>
        <v>0</v>
      </c>
      <c r="AF314">
        <f t="shared" si="49"/>
        <v>0</v>
      </c>
    </row>
    <row r="315" spans="1:32" x14ac:dyDescent="0.3">
      <c r="A315">
        <v>28</v>
      </c>
      <c r="B315">
        <v>69.099999999999994</v>
      </c>
      <c r="C315">
        <v>160</v>
      </c>
      <c r="D315">
        <f t="shared" si="40"/>
        <v>26.992187499999993</v>
      </c>
      <c r="E315">
        <f t="shared" si="41"/>
        <v>3</v>
      </c>
      <c r="F315">
        <v>82</v>
      </c>
      <c r="G315">
        <f t="shared" si="42"/>
        <v>12.900000000000006</v>
      </c>
      <c r="H315">
        <v>1</v>
      </c>
      <c r="I315" t="s">
        <v>32</v>
      </c>
      <c r="J315">
        <v>0</v>
      </c>
      <c r="K315">
        <v>0</v>
      </c>
      <c r="L315">
        <v>1</v>
      </c>
      <c r="M315">
        <v>39</v>
      </c>
      <c r="N315">
        <v>5</v>
      </c>
      <c r="O315">
        <f t="shared" si="43"/>
        <v>39.714285714285715</v>
      </c>
      <c r="P315">
        <v>1</v>
      </c>
      <c r="Q315">
        <v>0</v>
      </c>
      <c r="R315">
        <v>0</v>
      </c>
      <c r="T315">
        <v>1</v>
      </c>
      <c r="U315">
        <v>0</v>
      </c>
      <c r="V315">
        <v>3000</v>
      </c>
      <c r="W315">
        <v>10</v>
      </c>
      <c r="X315">
        <v>1</v>
      </c>
      <c r="Y315">
        <v>0</v>
      </c>
      <c r="AA315">
        <f t="shared" si="44"/>
        <v>1</v>
      </c>
      <c r="AB315" t="str">
        <f t="shared" si="45"/>
        <v>0</v>
      </c>
      <c r="AC315">
        <f t="shared" si="46"/>
        <v>0</v>
      </c>
      <c r="AD315">
        <f t="shared" si="47"/>
        <v>0</v>
      </c>
      <c r="AE315">
        <f t="shared" si="48"/>
        <v>0</v>
      </c>
      <c r="AF315">
        <f t="shared" si="49"/>
        <v>0</v>
      </c>
    </row>
    <row r="316" spans="1:32" x14ac:dyDescent="0.3">
      <c r="A316">
        <v>31</v>
      </c>
      <c r="B316">
        <v>49</v>
      </c>
      <c r="C316">
        <v>159</v>
      </c>
      <c r="D316">
        <f t="shared" si="40"/>
        <v>19.382144693643447</v>
      </c>
      <c r="E316">
        <f t="shared" si="41"/>
        <v>1</v>
      </c>
      <c r="F316">
        <v>59</v>
      </c>
      <c r="G316">
        <f t="shared" si="42"/>
        <v>10</v>
      </c>
      <c r="H316">
        <v>0</v>
      </c>
      <c r="J316">
        <v>0</v>
      </c>
      <c r="K316">
        <v>0</v>
      </c>
      <c r="L316">
        <v>0</v>
      </c>
      <c r="M316">
        <v>38</v>
      </c>
      <c r="N316">
        <v>6</v>
      </c>
      <c r="O316">
        <f t="shared" si="43"/>
        <v>38.857142857142854</v>
      </c>
      <c r="P316">
        <v>0</v>
      </c>
      <c r="Q316">
        <v>0</v>
      </c>
      <c r="R316">
        <v>3</v>
      </c>
      <c r="S316" t="s">
        <v>35</v>
      </c>
      <c r="T316">
        <v>0</v>
      </c>
      <c r="U316">
        <v>0</v>
      </c>
      <c r="V316">
        <v>3100</v>
      </c>
      <c r="W316">
        <v>9</v>
      </c>
      <c r="X316">
        <v>1</v>
      </c>
      <c r="Y316">
        <v>0</v>
      </c>
      <c r="AA316">
        <f t="shared" si="44"/>
        <v>0</v>
      </c>
      <c r="AB316" t="str">
        <f t="shared" si="45"/>
        <v>0</v>
      </c>
      <c r="AC316">
        <f t="shared" si="46"/>
        <v>0</v>
      </c>
      <c r="AD316">
        <f t="shared" si="47"/>
        <v>0</v>
      </c>
      <c r="AE316">
        <f t="shared" si="48"/>
        <v>1</v>
      </c>
      <c r="AF316">
        <f t="shared" si="49"/>
        <v>0</v>
      </c>
    </row>
    <row r="317" spans="1:32" x14ac:dyDescent="0.3">
      <c r="A317">
        <v>25</v>
      </c>
      <c r="B317">
        <v>53</v>
      </c>
      <c r="C317">
        <v>158</v>
      </c>
      <c r="D317">
        <f t="shared" si="40"/>
        <v>21.230572023714146</v>
      </c>
      <c r="E317">
        <f t="shared" si="41"/>
        <v>1</v>
      </c>
      <c r="F317">
        <v>65</v>
      </c>
      <c r="G317">
        <f t="shared" si="42"/>
        <v>12</v>
      </c>
      <c r="H317">
        <v>0</v>
      </c>
      <c r="J317">
        <v>0</v>
      </c>
      <c r="K317">
        <v>0</v>
      </c>
      <c r="L317">
        <v>0</v>
      </c>
      <c r="M317">
        <v>37</v>
      </c>
      <c r="N317">
        <v>2</v>
      </c>
      <c r="O317">
        <f t="shared" si="43"/>
        <v>37.285714285714285</v>
      </c>
      <c r="P317">
        <v>0</v>
      </c>
      <c r="Q317">
        <v>0</v>
      </c>
      <c r="R317">
        <v>0</v>
      </c>
      <c r="T317">
        <v>0</v>
      </c>
      <c r="U317">
        <v>0</v>
      </c>
      <c r="V317">
        <v>2940</v>
      </c>
      <c r="W317">
        <v>9</v>
      </c>
      <c r="X317">
        <v>0</v>
      </c>
      <c r="Y317">
        <v>0</v>
      </c>
      <c r="AA317">
        <f t="shared" si="44"/>
        <v>0</v>
      </c>
      <c r="AB317" t="str">
        <f t="shared" si="45"/>
        <v>0</v>
      </c>
      <c r="AC317">
        <f t="shared" si="46"/>
        <v>0</v>
      </c>
      <c r="AD317">
        <f t="shared" si="47"/>
        <v>0</v>
      </c>
      <c r="AE317">
        <f t="shared" si="48"/>
        <v>0</v>
      </c>
      <c r="AF317">
        <f t="shared" si="49"/>
        <v>0</v>
      </c>
    </row>
    <row r="318" spans="1:32" x14ac:dyDescent="0.3">
      <c r="A318">
        <v>19</v>
      </c>
      <c r="B318">
        <v>68</v>
      </c>
      <c r="C318">
        <v>160</v>
      </c>
      <c r="D318">
        <f t="shared" si="40"/>
        <v>26.562499999999996</v>
      </c>
      <c r="E318">
        <f t="shared" si="41"/>
        <v>3</v>
      </c>
      <c r="F318">
        <v>80</v>
      </c>
      <c r="G318">
        <f t="shared" si="42"/>
        <v>12</v>
      </c>
      <c r="H318">
        <v>1</v>
      </c>
      <c r="I318" t="s">
        <v>32</v>
      </c>
      <c r="J318">
        <v>0</v>
      </c>
      <c r="K318">
        <v>0</v>
      </c>
      <c r="L318">
        <v>0</v>
      </c>
      <c r="M318">
        <v>38</v>
      </c>
      <c r="N318">
        <v>3</v>
      </c>
      <c r="O318">
        <f t="shared" si="43"/>
        <v>38.428571428571431</v>
      </c>
      <c r="P318">
        <v>0</v>
      </c>
      <c r="Q318">
        <v>0</v>
      </c>
      <c r="R318">
        <v>0</v>
      </c>
      <c r="T318">
        <v>0</v>
      </c>
      <c r="U318">
        <v>0</v>
      </c>
      <c r="V318">
        <v>3000</v>
      </c>
      <c r="W318">
        <v>9</v>
      </c>
      <c r="X318">
        <v>1</v>
      </c>
      <c r="Y318">
        <v>0</v>
      </c>
      <c r="AA318">
        <f t="shared" si="44"/>
        <v>1</v>
      </c>
      <c r="AB318" t="str">
        <f t="shared" si="45"/>
        <v>0</v>
      </c>
      <c r="AC318">
        <f t="shared" si="46"/>
        <v>0</v>
      </c>
      <c r="AD318">
        <f t="shared" si="47"/>
        <v>0</v>
      </c>
      <c r="AE318">
        <f t="shared" si="48"/>
        <v>0</v>
      </c>
      <c r="AF318">
        <f t="shared" si="49"/>
        <v>0</v>
      </c>
    </row>
    <row r="319" spans="1:32" x14ac:dyDescent="0.3">
      <c r="A319">
        <v>31</v>
      </c>
      <c r="B319">
        <v>49</v>
      </c>
      <c r="C319">
        <v>163</v>
      </c>
      <c r="D319">
        <f t="shared" si="40"/>
        <v>18.442545824080696</v>
      </c>
      <c r="E319">
        <f t="shared" si="41"/>
        <v>0</v>
      </c>
      <c r="F319">
        <v>57</v>
      </c>
      <c r="G319">
        <f t="shared" si="42"/>
        <v>8</v>
      </c>
      <c r="H319">
        <v>0</v>
      </c>
      <c r="J319">
        <v>0</v>
      </c>
      <c r="K319">
        <v>0</v>
      </c>
      <c r="L319">
        <v>0</v>
      </c>
      <c r="M319">
        <v>38</v>
      </c>
      <c r="N319">
        <v>3</v>
      </c>
      <c r="O319">
        <f t="shared" si="43"/>
        <v>38.428571428571431</v>
      </c>
      <c r="P319">
        <v>0</v>
      </c>
      <c r="Q319">
        <v>0</v>
      </c>
      <c r="R319">
        <v>0</v>
      </c>
      <c r="T319">
        <v>0</v>
      </c>
      <c r="U319">
        <v>0</v>
      </c>
      <c r="V319">
        <v>2760</v>
      </c>
      <c r="W319">
        <v>9</v>
      </c>
      <c r="X319">
        <v>1</v>
      </c>
      <c r="Y319">
        <v>0</v>
      </c>
      <c r="AA319">
        <f t="shared" si="44"/>
        <v>0</v>
      </c>
      <c r="AB319" t="str">
        <f t="shared" si="45"/>
        <v>0</v>
      </c>
      <c r="AC319">
        <f t="shared" si="46"/>
        <v>0</v>
      </c>
      <c r="AD319">
        <f t="shared" si="47"/>
        <v>0</v>
      </c>
      <c r="AE319">
        <f t="shared" si="48"/>
        <v>0</v>
      </c>
      <c r="AF319">
        <f t="shared" si="49"/>
        <v>0</v>
      </c>
    </row>
    <row r="320" spans="1:32" x14ac:dyDescent="0.3">
      <c r="A320">
        <v>26</v>
      </c>
      <c r="B320">
        <v>58</v>
      </c>
      <c r="C320">
        <v>156</v>
      </c>
      <c r="D320">
        <f t="shared" si="40"/>
        <v>23.83300460223537</v>
      </c>
      <c r="E320">
        <f t="shared" si="41"/>
        <v>2</v>
      </c>
      <c r="F320">
        <v>76</v>
      </c>
      <c r="G320">
        <f t="shared" si="42"/>
        <v>18</v>
      </c>
      <c r="H320">
        <v>0</v>
      </c>
      <c r="J320">
        <v>0</v>
      </c>
      <c r="K320">
        <v>0</v>
      </c>
      <c r="L320">
        <v>0</v>
      </c>
      <c r="M320">
        <v>40</v>
      </c>
      <c r="N320">
        <v>3</v>
      </c>
      <c r="O320">
        <f t="shared" si="43"/>
        <v>40.428571428571431</v>
      </c>
      <c r="P320">
        <v>0</v>
      </c>
      <c r="Q320">
        <v>0</v>
      </c>
      <c r="R320">
        <v>0</v>
      </c>
      <c r="T320">
        <v>0</v>
      </c>
      <c r="U320">
        <v>0</v>
      </c>
      <c r="V320">
        <v>3150</v>
      </c>
      <c r="W320">
        <v>9</v>
      </c>
      <c r="X320">
        <v>0</v>
      </c>
      <c r="Y320">
        <v>0</v>
      </c>
      <c r="AA320">
        <f t="shared" si="44"/>
        <v>1</v>
      </c>
      <c r="AB320" t="str">
        <f t="shared" si="45"/>
        <v>0</v>
      </c>
      <c r="AC320">
        <f t="shared" si="46"/>
        <v>0</v>
      </c>
      <c r="AD320">
        <f t="shared" si="47"/>
        <v>0</v>
      </c>
      <c r="AE320">
        <f t="shared" si="48"/>
        <v>0</v>
      </c>
      <c r="AF320">
        <f t="shared" si="49"/>
        <v>0</v>
      </c>
    </row>
    <row r="321" spans="1:32" x14ac:dyDescent="0.3">
      <c r="A321">
        <v>26</v>
      </c>
      <c r="B321">
        <v>50</v>
      </c>
      <c r="C321">
        <v>163</v>
      </c>
      <c r="D321">
        <f t="shared" si="40"/>
        <v>18.818924310286427</v>
      </c>
      <c r="E321">
        <f t="shared" si="41"/>
        <v>1</v>
      </c>
      <c r="F321">
        <v>69</v>
      </c>
      <c r="G321">
        <f t="shared" si="42"/>
        <v>19</v>
      </c>
      <c r="H321">
        <v>0</v>
      </c>
      <c r="J321">
        <v>0</v>
      </c>
      <c r="K321">
        <v>0</v>
      </c>
      <c r="L321">
        <v>1</v>
      </c>
      <c r="M321">
        <v>39</v>
      </c>
      <c r="N321">
        <v>4</v>
      </c>
      <c r="O321">
        <f t="shared" si="43"/>
        <v>39.571428571428569</v>
      </c>
      <c r="P321">
        <v>0</v>
      </c>
      <c r="Q321">
        <v>0</v>
      </c>
      <c r="R321">
        <v>3</v>
      </c>
      <c r="S321" t="s">
        <v>35</v>
      </c>
      <c r="T321">
        <v>0</v>
      </c>
      <c r="U321">
        <v>0</v>
      </c>
      <c r="V321">
        <v>3440</v>
      </c>
      <c r="W321">
        <v>9</v>
      </c>
      <c r="X321">
        <v>1</v>
      </c>
      <c r="Y321">
        <v>0</v>
      </c>
      <c r="AA321">
        <f t="shared" si="44"/>
        <v>1</v>
      </c>
      <c r="AB321" t="str">
        <f t="shared" si="45"/>
        <v>0</v>
      </c>
      <c r="AC321">
        <f t="shared" si="46"/>
        <v>0</v>
      </c>
      <c r="AD321">
        <f t="shared" si="47"/>
        <v>0</v>
      </c>
      <c r="AE321">
        <f t="shared" si="48"/>
        <v>1</v>
      </c>
      <c r="AF321">
        <f t="shared" si="49"/>
        <v>0</v>
      </c>
    </row>
    <row r="322" spans="1:32" x14ac:dyDescent="0.3">
      <c r="A322">
        <v>22</v>
      </c>
      <c r="B322">
        <v>53.5</v>
      </c>
      <c r="C322">
        <v>168</v>
      </c>
      <c r="D322">
        <f t="shared" si="40"/>
        <v>18.955498866213155</v>
      </c>
      <c r="E322">
        <f t="shared" si="41"/>
        <v>1</v>
      </c>
      <c r="F322">
        <v>65</v>
      </c>
      <c r="G322">
        <f t="shared" si="42"/>
        <v>11.5</v>
      </c>
      <c r="H322">
        <v>0</v>
      </c>
      <c r="J322">
        <v>0</v>
      </c>
      <c r="K322">
        <v>0</v>
      </c>
      <c r="L322">
        <v>0</v>
      </c>
      <c r="M322">
        <v>37</v>
      </c>
      <c r="N322">
        <v>2</v>
      </c>
      <c r="O322">
        <f t="shared" si="43"/>
        <v>37.285714285714285</v>
      </c>
      <c r="P322">
        <v>0</v>
      </c>
      <c r="Q322">
        <v>0</v>
      </c>
      <c r="R322">
        <v>3</v>
      </c>
      <c r="S322" t="s">
        <v>49</v>
      </c>
      <c r="T322">
        <v>0</v>
      </c>
      <c r="U322">
        <v>0</v>
      </c>
      <c r="V322">
        <v>2780</v>
      </c>
      <c r="W322">
        <v>6</v>
      </c>
      <c r="X322">
        <v>1</v>
      </c>
      <c r="Y322">
        <v>0</v>
      </c>
      <c r="AA322">
        <f t="shared" si="44"/>
        <v>0</v>
      </c>
      <c r="AB322" t="str">
        <f t="shared" si="45"/>
        <v>0</v>
      </c>
      <c r="AC322">
        <f t="shared" si="46"/>
        <v>0</v>
      </c>
      <c r="AD322">
        <f t="shared" si="47"/>
        <v>1</v>
      </c>
      <c r="AE322">
        <f t="shared" si="48"/>
        <v>1</v>
      </c>
      <c r="AF322">
        <f t="shared" si="49"/>
        <v>0</v>
      </c>
    </row>
    <row r="323" spans="1:32" x14ac:dyDescent="0.3">
      <c r="A323">
        <v>25</v>
      </c>
      <c r="B323">
        <v>55</v>
      </c>
      <c r="C323">
        <v>155</v>
      </c>
      <c r="D323">
        <f t="shared" si="40"/>
        <v>22.892819979188342</v>
      </c>
      <c r="E323">
        <f t="shared" si="41"/>
        <v>1</v>
      </c>
      <c r="F323">
        <v>73.900000000000006</v>
      </c>
      <c r="G323">
        <f t="shared" si="42"/>
        <v>18.900000000000006</v>
      </c>
      <c r="H323">
        <v>0</v>
      </c>
      <c r="J323">
        <v>0</v>
      </c>
      <c r="K323">
        <v>0</v>
      </c>
      <c r="L323">
        <v>1</v>
      </c>
      <c r="M323">
        <v>40</v>
      </c>
      <c r="N323">
        <v>0</v>
      </c>
      <c r="O323">
        <f t="shared" si="43"/>
        <v>40</v>
      </c>
      <c r="P323">
        <v>0</v>
      </c>
      <c r="Q323">
        <v>0</v>
      </c>
      <c r="R323">
        <v>3</v>
      </c>
      <c r="S323" t="s">
        <v>36</v>
      </c>
      <c r="T323">
        <v>0</v>
      </c>
      <c r="U323">
        <v>0</v>
      </c>
      <c r="V323">
        <v>3630</v>
      </c>
      <c r="W323">
        <v>9</v>
      </c>
      <c r="X323">
        <v>1</v>
      </c>
      <c r="Y323">
        <v>0</v>
      </c>
      <c r="AA323">
        <f t="shared" si="44"/>
        <v>1</v>
      </c>
      <c r="AB323" t="str">
        <f t="shared" si="45"/>
        <v>0</v>
      </c>
      <c r="AC323">
        <f t="shared" si="46"/>
        <v>0</v>
      </c>
      <c r="AD323">
        <f t="shared" si="47"/>
        <v>0</v>
      </c>
      <c r="AE323">
        <f t="shared" si="48"/>
        <v>1</v>
      </c>
      <c r="AF323">
        <f t="shared" si="49"/>
        <v>0</v>
      </c>
    </row>
    <row r="324" spans="1:32" x14ac:dyDescent="0.3">
      <c r="A324">
        <v>38</v>
      </c>
      <c r="B324">
        <v>42</v>
      </c>
      <c r="C324">
        <v>155</v>
      </c>
      <c r="D324">
        <f t="shared" ref="D324:D387" si="50">B324/((C324/100)^2)</f>
        <v>17.481789802289281</v>
      </c>
      <c r="E324">
        <f t="shared" ref="E324:E387" si="51">IF(D324&lt;18.5,0,IF(D324&lt;23,1,IF(D324&lt;25,2,3)))</f>
        <v>0</v>
      </c>
      <c r="F324">
        <v>49</v>
      </c>
      <c r="G324">
        <f t="shared" ref="G324:G387" si="52">F324-B324</f>
        <v>7</v>
      </c>
      <c r="H324">
        <v>0</v>
      </c>
      <c r="J324">
        <v>0</v>
      </c>
      <c r="K324">
        <v>0</v>
      </c>
      <c r="L324">
        <v>1</v>
      </c>
      <c r="M324">
        <v>39</v>
      </c>
      <c r="N324">
        <v>2</v>
      </c>
      <c r="O324">
        <f t="shared" ref="O324:O387" si="53">M324+(N324/7)</f>
        <v>39.285714285714285</v>
      </c>
      <c r="P324">
        <v>0</v>
      </c>
      <c r="Q324">
        <v>0</v>
      </c>
      <c r="R324">
        <v>0</v>
      </c>
      <c r="T324">
        <v>0</v>
      </c>
      <c r="U324">
        <v>0</v>
      </c>
      <c r="V324">
        <v>3300</v>
      </c>
      <c r="W324">
        <v>9</v>
      </c>
      <c r="X324">
        <v>1</v>
      </c>
      <c r="Y324">
        <v>1</v>
      </c>
      <c r="Z324" t="s">
        <v>38</v>
      </c>
      <c r="AA324">
        <f t="shared" ref="AA324:AA387" si="54">IF(OR(AND(E324=0,G324&gt;18.2),AND(E324=1,G324&gt;15.9),AND(E324=2,G324&gt;11.3),AND(E324=3,G324&gt;9.1)),1,0)</f>
        <v>0</v>
      </c>
      <c r="AB324" t="str">
        <f t="shared" ref="AB324:AB387" si="55">IF(OR(AND(O324&lt;38,V324&gt;3324),AND(O324&lt;39,V324&gt;3540),AND(O324&lt;40,V324&gt;3726),AND(O324&lt;42,V324&gt;3871)),"2",IF(OR(AND(O324&gt;36.9,V324&lt;2323),AND(O324&gt;37.9,V324&lt;2496),AND(O324&gt;38.9,V324&lt;2658),AND(O324&gt;39.9,V324&lt;2805)),"1","0"))</f>
        <v>0</v>
      </c>
      <c r="AC324">
        <f t="shared" ref="AC324:AC387" si="56">IF(V324&lt;4000,0,1)</f>
        <v>0</v>
      </c>
      <c r="AD324">
        <f t="shared" ref="AD324:AD387" si="57">IF(W324&gt;7,0,1)</f>
        <v>0</v>
      </c>
      <c r="AE324">
        <f t="shared" ref="AE324:AE387" si="58">IF(R324=3,1,0)</f>
        <v>0</v>
      </c>
      <c r="AF324">
        <f t="shared" ref="AF324:AF387" si="59">IF(X324=2,1,0)</f>
        <v>0</v>
      </c>
    </row>
    <row r="325" spans="1:32" x14ac:dyDescent="0.3">
      <c r="A325">
        <v>37</v>
      </c>
      <c r="B325">
        <v>53</v>
      </c>
      <c r="C325">
        <v>152</v>
      </c>
      <c r="D325">
        <f t="shared" si="50"/>
        <v>22.939750692520775</v>
      </c>
      <c r="E325">
        <f t="shared" si="51"/>
        <v>1</v>
      </c>
      <c r="F325">
        <v>57</v>
      </c>
      <c r="G325">
        <f t="shared" si="52"/>
        <v>4</v>
      </c>
      <c r="H325">
        <v>0</v>
      </c>
      <c r="J325">
        <v>0</v>
      </c>
      <c r="K325">
        <v>0</v>
      </c>
      <c r="L325">
        <v>2</v>
      </c>
      <c r="M325">
        <v>39</v>
      </c>
      <c r="N325">
        <v>0</v>
      </c>
      <c r="O325">
        <f t="shared" si="53"/>
        <v>39</v>
      </c>
      <c r="P325">
        <v>0</v>
      </c>
      <c r="Q325">
        <v>0</v>
      </c>
      <c r="R325">
        <v>0</v>
      </c>
      <c r="T325">
        <v>2</v>
      </c>
      <c r="U325">
        <v>0</v>
      </c>
      <c r="V325">
        <v>2760</v>
      </c>
      <c r="W325">
        <v>9</v>
      </c>
      <c r="X325">
        <v>1</v>
      </c>
      <c r="Y325">
        <v>0</v>
      </c>
      <c r="AA325">
        <f t="shared" si="54"/>
        <v>0</v>
      </c>
      <c r="AB325" t="str">
        <f t="shared" si="55"/>
        <v>0</v>
      </c>
      <c r="AC325">
        <f t="shared" si="56"/>
        <v>0</v>
      </c>
      <c r="AD325">
        <f t="shared" si="57"/>
        <v>0</v>
      </c>
      <c r="AE325">
        <f t="shared" si="58"/>
        <v>0</v>
      </c>
      <c r="AF325">
        <f t="shared" si="59"/>
        <v>0</v>
      </c>
    </row>
    <row r="326" spans="1:32" x14ac:dyDescent="0.3">
      <c r="A326">
        <v>17</v>
      </c>
      <c r="B326">
        <v>52</v>
      </c>
      <c r="C326">
        <v>156</v>
      </c>
      <c r="D326">
        <f t="shared" si="50"/>
        <v>21.367521367521366</v>
      </c>
      <c r="E326">
        <f t="shared" si="51"/>
        <v>1</v>
      </c>
      <c r="F326">
        <v>69</v>
      </c>
      <c r="G326">
        <f t="shared" si="52"/>
        <v>17</v>
      </c>
      <c r="H326">
        <v>0</v>
      </c>
      <c r="J326">
        <v>0</v>
      </c>
      <c r="K326">
        <v>0</v>
      </c>
      <c r="L326">
        <v>0</v>
      </c>
      <c r="M326">
        <v>40</v>
      </c>
      <c r="N326">
        <v>2</v>
      </c>
      <c r="O326">
        <f t="shared" si="53"/>
        <v>40.285714285714285</v>
      </c>
      <c r="P326">
        <v>0</v>
      </c>
      <c r="Q326">
        <v>0</v>
      </c>
      <c r="R326">
        <v>0</v>
      </c>
      <c r="T326">
        <v>0</v>
      </c>
      <c r="U326">
        <v>0</v>
      </c>
      <c r="V326">
        <v>2680</v>
      </c>
      <c r="W326">
        <v>8</v>
      </c>
      <c r="X326">
        <v>1</v>
      </c>
      <c r="Y326">
        <v>0</v>
      </c>
      <c r="AA326">
        <f t="shared" si="54"/>
        <v>1</v>
      </c>
      <c r="AB326" t="str">
        <f t="shared" si="55"/>
        <v>1</v>
      </c>
      <c r="AC326">
        <f t="shared" si="56"/>
        <v>0</v>
      </c>
      <c r="AD326">
        <f t="shared" si="57"/>
        <v>0</v>
      </c>
      <c r="AE326">
        <f t="shared" si="58"/>
        <v>0</v>
      </c>
      <c r="AF326">
        <f t="shared" si="59"/>
        <v>0</v>
      </c>
    </row>
    <row r="327" spans="1:32" x14ac:dyDescent="0.3">
      <c r="A327">
        <v>27</v>
      </c>
      <c r="B327">
        <v>45</v>
      </c>
      <c r="C327">
        <v>140</v>
      </c>
      <c r="D327">
        <f t="shared" si="50"/>
        <v>22.95918367346939</v>
      </c>
      <c r="E327">
        <f t="shared" si="51"/>
        <v>1</v>
      </c>
      <c r="F327">
        <v>52</v>
      </c>
      <c r="G327">
        <f t="shared" si="52"/>
        <v>7</v>
      </c>
      <c r="H327">
        <v>0</v>
      </c>
      <c r="J327">
        <v>0</v>
      </c>
      <c r="K327">
        <v>0</v>
      </c>
      <c r="L327">
        <v>1</v>
      </c>
      <c r="M327">
        <v>39</v>
      </c>
      <c r="N327">
        <v>0</v>
      </c>
      <c r="O327">
        <f t="shared" si="53"/>
        <v>39</v>
      </c>
      <c r="P327">
        <v>0</v>
      </c>
      <c r="Q327">
        <v>0</v>
      </c>
      <c r="R327">
        <v>0</v>
      </c>
      <c r="T327">
        <v>0</v>
      </c>
      <c r="U327">
        <v>0</v>
      </c>
      <c r="V327">
        <v>3400</v>
      </c>
      <c r="W327">
        <v>9</v>
      </c>
      <c r="X327">
        <v>1</v>
      </c>
      <c r="Y327">
        <v>1</v>
      </c>
      <c r="Z327" t="s">
        <v>38</v>
      </c>
      <c r="AA327">
        <f t="shared" si="54"/>
        <v>0</v>
      </c>
      <c r="AB327" t="str">
        <f t="shared" si="55"/>
        <v>0</v>
      </c>
      <c r="AC327">
        <f t="shared" si="56"/>
        <v>0</v>
      </c>
      <c r="AD327">
        <f t="shared" si="57"/>
        <v>0</v>
      </c>
      <c r="AE327">
        <f t="shared" si="58"/>
        <v>0</v>
      </c>
      <c r="AF327">
        <f t="shared" si="59"/>
        <v>0</v>
      </c>
    </row>
    <row r="328" spans="1:32" x14ac:dyDescent="0.3">
      <c r="A328">
        <v>40</v>
      </c>
      <c r="B328">
        <v>53</v>
      </c>
      <c r="C328">
        <v>155</v>
      </c>
      <c r="D328">
        <f t="shared" si="50"/>
        <v>22.060353798126947</v>
      </c>
      <c r="E328">
        <f t="shared" si="51"/>
        <v>1</v>
      </c>
      <c r="F328">
        <v>62</v>
      </c>
      <c r="G328">
        <f t="shared" si="52"/>
        <v>9</v>
      </c>
      <c r="H328">
        <v>0</v>
      </c>
      <c r="J328">
        <v>0</v>
      </c>
      <c r="K328">
        <v>1</v>
      </c>
      <c r="L328">
        <v>1</v>
      </c>
      <c r="M328">
        <v>39</v>
      </c>
      <c r="N328">
        <v>6</v>
      </c>
      <c r="O328">
        <f t="shared" si="53"/>
        <v>39.857142857142854</v>
      </c>
      <c r="P328">
        <v>0</v>
      </c>
      <c r="Q328">
        <v>1</v>
      </c>
      <c r="R328">
        <v>3</v>
      </c>
      <c r="S328" t="s">
        <v>34</v>
      </c>
      <c r="T328">
        <v>0</v>
      </c>
      <c r="U328">
        <v>0</v>
      </c>
      <c r="V328">
        <v>2740</v>
      </c>
      <c r="W328">
        <v>8</v>
      </c>
      <c r="X328">
        <v>1</v>
      </c>
      <c r="Y328">
        <v>0</v>
      </c>
      <c r="AA328">
        <f t="shared" si="54"/>
        <v>0</v>
      </c>
      <c r="AB328" t="str">
        <f t="shared" si="55"/>
        <v>0</v>
      </c>
      <c r="AC328">
        <f t="shared" si="56"/>
        <v>0</v>
      </c>
      <c r="AD328">
        <f t="shared" si="57"/>
        <v>0</v>
      </c>
      <c r="AE328">
        <f t="shared" si="58"/>
        <v>1</v>
      </c>
      <c r="AF328">
        <f t="shared" si="59"/>
        <v>0</v>
      </c>
    </row>
    <row r="329" spans="1:32" x14ac:dyDescent="0.3">
      <c r="A329">
        <v>39</v>
      </c>
      <c r="B329">
        <v>55</v>
      </c>
      <c r="C329">
        <v>156</v>
      </c>
      <c r="D329">
        <f t="shared" si="50"/>
        <v>22.600262984878366</v>
      </c>
      <c r="E329">
        <f t="shared" si="51"/>
        <v>1</v>
      </c>
      <c r="F329">
        <v>75</v>
      </c>
      <c r="G329">
        <f t="shared" si="52"/>
        <v>20</v>
      </c>
      <c r="H329">
        <v>0</v>
      </c>
      <c r="J329">
        <v>0</v>
      </c>
      <c r="K329">
        <v>1</v>
      </c>
      <c r="L329">
        <v>1</v>
      </c>
      <c r="M329">
        <v>38</v>
      </c>
      <c r="N329">
        <v>1</v>
      </c>
      <c r="O329">
        <f t="shared" si="53"/>
        <v>38.142857142857146</v>
      </c>
      <c r="P329">
        <v>0</v>
      </c>
      <c r="Q329">
        <v>0</v>
      </c>
      <c r="R329">
        <v>3</v>
      </c>
      <c r="S329" t="s">
        <v>34</v>
      </c>
      <c r="T329">
        <v>0</v>
      </c>
      <c r="U329">
        <v>0</v>
      </c>
      <c r="V329">
        <v>3350</v>
      </c>
      <c r="W329">
        <v>8</v>
      </c>
      <c r="X329">
        <v>1</v>
      </c>
      <c r="Y329">
        <v>0</v>
      </c>
      <c r="AA329">
        <f t="shared" si="54"/>
        <v>1</v>
      </c>
      <c r="AB329" t="str">
        <f t="shared" si="55"/>
        <v>0</v>
      </c>
      <c r="AC329">
        <f t="shared" si="56"/>
        <v>0</v>
      </c>
      <c r="AD329">
        <f t="shared" si="57"/>
        <v>0</v>
      </c>
      <c r="AE329">
        <f t="shared" si="58"/>
        <v>1</v>
      </c>
      <c r="AF329">
        <f t="shared" si="59"/>
        <v>0</v>
      </c>
    </row>
    <row r="330" spans="1:32" x14ac:dyDescent="0.3">
      <c r="A330">
        <v>34</v>
      </c>
      <c r="B330">
        <v>65</v>
      </c>
      <c r="C330">
        <v>156</v>
      </c>
      <c r="D330">
        <f t="shared" si="50"/>
        <v>26.709401709401707</v>
      </c>
      <c r="E330">
        <f t="shared" si="51"/>
        <v>3</v>
      </c>
      <c r="F330">
        <v>75</v>
      </c>
      <c r="G330">
        <f t="shared" si="52"/>
        <v>10</v>
      </c>
      <c r="H330">
        <v>1</v>
      </c>
      <c r="I330" t="s">
        <v>32</v>
      </c>
      <c r="J330">
        <v>0</v>
      </c>
      <c r="K330">
        <v>1</v>
      </c>
      <c r="L330">
        <v>1</v>
      </c>
      <c r="M330">
        <v>39</v>
      </c>
      <c r="N330">
        <v>0</v>
      </c>
      <c r="O330">
        <f t="shared" si="53"/>
        <v>39</v>
      </c>
      <c r="P330">
        <v>1</v>
      </c>
      <c r="Q330">
        <v>0</v>
      </c>
      <c r="R330">
        <v>3</v>
      </c>
      <c r="S330" t="s">
        <v>34</v>
      </c>
      <c r="T330">
        <v>0</v>
      </c>
      <c r="U330">
        <v>0</v>
      </c>
      <c r="V330">
        <v>3490</v>
      </c>
      <c r="W330">
        <v>9</v>
      </c>
      <c r="X330">
        <v>1</v>
      </c>
      <c r="Y330">
        <v>0</v>
      </c>
      <c r="AA330">
        <f t="shared" si="54"/>
        <v>1</v>
      </c>
      <c r="AB330" t="str">
        <f t="shared" si="55"/>
        <v>0</v>
      </c>
      <c r="AC330">
        <f t="shared" si="56"/>
        <v>0</v>
      </c>
      <c r="AD330">
        <f t="shared" si="57"/>
        <v>0</v>
      </c>
      <c r="AE330">
        <f t="shared" si="58"/>
        <v>1</v>
      </c>
      <c r="AF330">
        <f t="shared" si="59"/>
        <v>0</v>
      </c>
    </row>
    <row r="331" spans="1:32" x14ac:dyDescent="0.3">
      <c r="A331">
        <v>26</v>
      </c>
      <c r="B331">
        <v>43</v>
      </c>
      <c r="C331">
        <v>152</v>
      </c>
      <c r="D331">
        <f t="shared" si="50"/>
        <v>18.611495844875346</v>
      </c>
      <c r="E331">
        <f t="shared" si="51"/>
        <v>1</v>
      </c>
      <c r="F331">
        <v>60</v>
      </c>
      <c r="G331">
        <f t="shared" si="52"/>
        <v>17</v>
      </c>
      <c r="H331">
        <v>0</v>
      </c>
      <c r="J331">
        <v>0</v>
      </c>
      <c r="K331">
        <v>0</v>
      </c>
      <c r="L331">
        <v>1</v>
      </c>
      <c r="M331">
        <v>37</v>
      </c>
      <c r="N331">
        <v>3</v>
      </c>
      <c r="O331">
        <f t="shared" si="53"/>
        <v>37.428571428571431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2360</v>
      </c>
      <c r="W331">
        <v>9</v>
      </c>
      <c r="X331">
        <v>1</v>
      </c>
      <c r="Y331">
        <v>0</v>
      </c>
      <c r="AA331">
        <f t="shared" si="54"/>
        <v>1</v>
      </c>
      <c r="AB331" t="str">
        <f t="shared" si="55"/>
        <v>0</v>
      </c>
      <c r="AC331">
        <f t="shared" si="56"/>
        <v>0</v>
      </c>
      <c r="AD331">
        <f t="shared" si="57"/>
        <v>0</v>
      </c>
      <c r="AE331">
        <f t="shared" si="58"/>
        <v>0</v>
      </c>
      <c r="AF331">
        <f t="shared" si="59"/>
        <v>0</v>
      </c>
    </row>
    <row r="332" spans="1:32" x14ac:dyDescent="0.3">
      <c r="A332">
        <v>29</v>
      </c>
      <c r="B332">
        <v>45</v>
      </c>
      <c r="C332">
        <v>150</v>
      </c>
      <c r="D332">
        <f t="shared" si="50"/>
        <v>20</v>
      </c>
      <c r="E332">
        <f t="shared" si="51"/>
        <v>1</v>
      </c>
      <c r="F332">
        <v>55</v>
      </c>
      <c r="G332">
        <f t="shared" si="52"/>
        <v>10</v>
      </c>
      <c r="H332">
        <v>1</v>
      </c>
      <c r="I332" t="s">
        <v>39</v>
      </c>
      <c r="J332">
        <v>0</v>
      </c>
      <c r="K332">
        <v>0</v>
      </c>
      <c r="L332">
        <v>1</v>
      </c>
      <c r="M332">
        <v>37</v>
      </c>
      <c r="N332">
        <v>0</v>
      </c>
      <c r="O332">
        <f t="shared" si="53"/>
        <v>37</v>
      </c>
      <c r="P332">
        <v>0</v>
      </c>
      <c r="Q332">
        <v>0</v>
      </c>
      <c r="R332">
        <v>0</v>
      </c>
      <c r="T332">
        <v>0</v>
      </c>
      <c r="U332">
        <v>0</v>
      </c>
      <c r="V332">
        <v>2380</v>
      </c>
      <c r="W332">
        <v>9</v>
      </c>
      <c r="X332">
        <v>1</v>
      </c>
      <c r="Y332">
        <v>0</v>
      </c>
      <c r="AA332">
        <f t="shared" si="54"/>
        <v>0</v>
      </c>
      <c r="AB332" t="str">
        <f t="shared" si="55"/>
        <v>0</v>
      </c>
      <c r="AC332">
        <f t="shared" si="56"/>
        <v>0</v>
      </c>
      <c r="AD332">
        <f t="shared" si="57"/>
        <v>0</v>
      </c>
      <c r="AE332">
        <f t="shared" si="58"/>
        <v>0</v>
      </c>
      <c r="AF332">
        <f t="shared" si="59"/>
        <v>0</v>
      </c>
    </row>
    <row r="333" spans="1:32" x14ac:dyDescent="0.3">
      <c r="A333">
        <v>26</v>
      </c>
      <c r="B333">
        <v>47</v>
      </c>
      <c r="C333">
        <v>153</v>
      </c>
      <c r="D333">
        <f t="shared" si="50"/>
        <v>20.077747874749029</v>
      </c>
      <c r="E333">
        <f t="shared" si="51"/>
        <v>1</v>
      </c>
      <c r="F333">
        <v>63</v>
      </c>
      <c r="G333">
        <f t="shared" si="52"/>
        <v>16</v>
      </c>
      <c r="H333">
        <v>0</v>
      </c>
      <c r="J333">
        <v>0</v>
      </c>
      <c r="K333">
        <v>0</v>
      </c>
      <c r="L333">
        <v>1</v>
      </c>
      <c r="M333">
        <v>39</v>
      </c>
      <c r="N333">
        <v>3</v>
      </c>
      <c r="O333">
        <f t="shared" si="53"/>
        <v>39.428571428571431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2950</v>
      </c>
      <c r="W333">
        <v>9</v>
      </c>
      <c r="X333">
        <v>1</v>
      </c>
      <c r="Y333">
        <v>0</v>
      </c>
      <c r="AA333">
        <f t="shared" si="54"/>
        <v>1</v>
      </c>
      <c r="AB333" t="str">
        <f t="shared" si="55"/>
        <v>0</v>
      </c>
      <c r="AC333">
        <f t="shared" si="56"/>
        <v>0</v>
      </c>
      <c r="AD333">
        <f t="shared" si="57"/>
        <v>0</v>
      </c>
      <c r="AE333">
        <f t="shared" si="58"/>
        <v>0</v>
      </c>
      <c r="AF333">
        <f t="shared" si="59"/>
        <v>0</v>
      </c>
    </row>
    <row r="334" spans="1:32" x14ac:dyDescent="0.3">
      <c r="A334">
        <v>34</v>
      </c>
      <c r="B334">
        <v>56</v>
      </c>
      <c r="C334">
        <v>160</v>
      </c>
      <c r="D334">
        <f t="shared" si="50"/>
        <v>21.874999999999996</v>
      </c>
      <c r="E334">
        <f t="shared" si="51"/>
        <v>1</v>
      </c>
      <c r="F334">
        <v>71</v>
      </c>
      <c r="G334">
        <f t="shared" si="52"/>
        <v>15</v>
      </c>
      <c r="H334">
        <v>0</v>
      </c>
      <c r="J334">
        <v>0</v>
      </c>
      <c r="K334">
        <v>0</v>
      </c>
      <c r="L334">
        <v>1</v>
      </c>
      <c r="M334">
        <v>38</v>
      </c>
      <c r="N334">
        <v>4</v>
      </c>
      <c r="O334">
        <f t="shared" si="53"/>
        <v>38.571428571428569</v>
      </c>
      <c r="P334">
        <v>0</v>
      </c>
      <c r="Q334">
        <v>0</v>
      </c>
      <c r="R334">
        <v>0</v>
      </c>
      <c r="T334">
        <v>0</v>
      </c>
      <c r="U334">
        <v>0</v>
      </c>
      <c r="V334">
        <v>3050</v>
      </c>
      <c r="W334">
        <v>9</v>
      </c>
      <c r="X334">
        <v>0</v>
      </c>
      <c r="Y334">
        <v>0</v>
      </c>
      <c r="AA334">
        <f t="shared" si="54"/>
        <v>0</v>
      </c>
      <c r="AB334" t="str">
        <f t="shared" si="55"/>
        <v>0</v>
      </c>
      <c r="AC334">
        <f t="shared" si="56"/>
        <v>0</v>
      </c>
      <c r="AD334">
        <f t="shared" si="57"/>
        <v>0</v>
      </c>
      <c r="AE334">
        <f t="shared" si="58"/>
        <v>0</v>
      </c>
      <c r="AF334">
        <f t="shared" si="59"/>
        <v>0</v>
      </c>
    </row>
    <row r="335" spans="1:32" x14ac:dyDescent="0.3">
      <c r="A335">
        <v>21</v>
      </c>
      <c r="B335">
        <v>40</v>
      </c>
      <c r="C335">
        <v>145</v>
      </c>
      <c r="D335">
        <f t="shared" si="50"/>
        <v>19.024970273483948</v>
      </c>
      <c r="E335">
        <f t="shared" si="51"/>
        <v>1</v>
      </c>
      <c r="F335">
        <v>54</v>
      </c>
      <c r="G335">
        <f t="shared" si="52"/>
        <v>14</v>
      </c>
      <c r="H335">
        <v>0</v>
      </c>
      <c r="J335">
        <v>0</v>
      </c>
      <c r="K335">
        <v>0</v>
      </c>
      <c r="L335">
        <v>0</v>
      </c>
      <c r="M335">
        <v>38</v>
      </c>
      <c r="N335">
        <v>0</v>
      </c>
      <c r="O335">
        <f t="shared" si="53"/>
        <v>38</v>
      </c>
      <c r="P335">
        <v>0</v>
      </c>
      <c r="Q335">
        <v>0</v>
      </c>
      <c r="R335">
        <v>0</v>
      </c>
      <c r="T335">
        <v>0</v>
      </c>
      <c r="U335">
        <v>0</v>
      </c>
      <c r="V335">
        <v>2740</v>
      </c>
      <c r="W335">
        <v>9</v>
      </c>
      <c r="X335">
        <v>1</v>
      </c>
      <c r="Y335">
        <v>0</v>
      </c>
      <c r="AA335">
        <f t="shared" si="54"/>
        <v>0</v>
      </c>
      <c r="AB335" t="str">
        <f t="shared" si="55"/>
        <v>0</v>
      </c>
      <c r="AC335">
        <f t="shared" si="56"/>
        <v>0</v>
      </c>
      <c r="AD335">
        <f t="shared" si="57"/>
        <v>0</v>
      </c>
      <c r="AE335">
        <f t="shared" si="58"/>
        <v>0</v>
      </c>
      <c r="AF335">
        <f t="shared" si="59"/>
        <v>0</v>
      </c>
    </row>
    <row r="336" spans="1:32" x14ac:dyDescent="0.3">
      <c r="A336">
        <v>19</v>
      </c>
      <c r="B336">
        <v>92</v>
      </c>
      <c r="C336">
        <v>173</v>
      </c>
      <c r="D336">
        <f t="shared" si="50"/>
        <v>30.73941661933242</v>
      </c>
      <c r="E336">
        <f t="shared" si="51"/>
        <v>3</v>
      </c>
      <c r="F336">
        <v>108</v>
      </c>
      <c r="G336">
        <f t="shared" si="52"/>
        <v>16</v>
      </c>
      <c r="H336">
        <v>1</v>
      </c>
      <c r="I336" t="s">
        <v>32</v>
      </c>
      <c r="J336">
        <v>0</v>
      </c>
      <c r="K336">
        <v>0</v>
      </c>
      <c r="L336">
        <v>0</v>
      </c>
      <c r="M336">
        <v>39</v>
      </c>
      <c r="N336">
        <v>4</v>
      </c>
      <c r="O336">
        <f t="shared" si="53"/>
        <v>39.571428571428569</v>
      </c>
      <c r="P336">
        <v>0</v>
      </c>
      <c r="Q336">
        <v>0</v>
      </c>
      <c r="R336">
        <v>3</v>
      </c>
      <c r="S336" t="s">
        <v>49</v>
      </c>
      <c r="T336">
        <v>0</v>
      </c>
      <c r="U336">
        <v>0</v>
      </c>
      <c r="V336">
        <v>3090</v>
      </c>
      <c r="W336">
        <v>9</v>
      </c>
      <c r="X336">
        <v>1</v>
      </c>
      <c r="Y336">
        <v>0</v>
      </c>
      <c r="AA336">
        <f t="shared" si="54"/>
        <v>1</v>
      </c>
      <c r="AB336" t="str">
        <f t="shared" si="55"/>
        <v>0</v>
      </c>
      <c r="AC336">
        <f t="shared" si="56"/>
        <v>0</v>
      </c>
      <c r="AD336">
        <f t="shared" si="57"/>
        <v>0</v>
      </c>
      <c r="AE336">
        <f t="shared" si="58"/>
        <v>1</v>
      </c>
      <c r="AF336">
        <f t="shared" si="59"/>
        <v>0</v>
      </c>
    </row>
    <row r="337" spans="1:32" x14ac:dyDescent="0.3">
      <c r="A337">
        <v>35</v>
      </c>
      <c r="B337">
        <v>55</v>
      </c>
      <c r="C337">
        <v>160</v>
      </c>
      <c r="D337">
        <f t="shared" si="50"/>
        <v>21.484374999999996</v>
      </c>
      <c r="E337">
        <f t="shared" si="51"/>
        <v>1</v>
      </c>
      <c r="F337">
        <v>64</v>
      </c>
      <c r="G337">
        <f t="shared" si="52"/>
        <v>9</v>
      </c>
      <c r="H337">
        <v>0</v>
      </c>
      <c r="J337">
        <v>0</v>
      </c>
      <c r="K337">
        <v>0</v>
      </c>
      <c r="L337">
        <v>2</v>
      </c>
      <c r="M337">
        <v>38</v>
      </c>
      <c r="N337">
        <v>6</v>
      </c>
      <c r="O337">
        <f t="shared" si="53"/>
        <v>38.857142857142854</v>
      </c>
      <c r="P337">
        <v>0</v>
      </c>
      <c r="Q337">
        <v>0</v>
      </c>
      <c r="R337">
        <v>0</v>
      </c>
      <c r="T337">
        <v>0</v>
      </c>
      <c r="U337">
        <v>0</v>
      </c>
      <c r="V337">
        <v>2880</v>
      </c>
      <c r="W337">
        <v>9</v>
      </c>
      <c r="X337">
        <v>1</v>
      </c>
      <c r="Y337">
        <v>0</v>
      </c>
      <c r="AA337">
        <f t="shared" si="54"/>
        <v>0</v>
      </c>
      <c r="AB337" t="str">
        <f t="shared" si="55"/>
        <v>0</v>
      </c>
      <c r="AC337">
        <f t="shared" si="56"/>
        <v>0</v>
      </c>
      <c r="AD337">
        <f t="shared" si="57"/>
        <v>0</v>
      </c>
      <c r="AE337">
        <f t="shared" si="58"/>
        <v>0</v>
      </c>
      <c r="AF337">
        <f t="shared" si="59"/>
        <v>0</v>
      </c>
    </row>
    <row r="338" spans="1:32" x14ac:dyDescent="0.3">
      <c r="A338">
        <v>24</v>
      </c>
      <c r="B338">
        <v>75</v>
      </c>
      <c r="C338">
        <v>163</v>
      </c>
      <c r="D338">
        <f t="shared" si="50"/>
        <v>28.228386465429637</v>
      </c>
      <c r="E338">
        <f t="shared" si="51"/>
        <v>3</v>
      </c>
      <c r="F338">
        <v>92</v>
      </c>
      <c r="G338">
        <f t="shared" si="52"/>
        <v>17</v>
      </c>
      <c r="H338">
        <v>1</v>
      </c>
      <c r="I338" t="s">
        <v>32</v>
      </c>
      <c r="J338">
        <v>0</v>
      </c>
      <c r="K338">
        <v>0</v>
      </c>
      <c r="L338">
        <v>0</v>
      </c>
      <c r="M338">
        <v>40</v>
      </c>
      <c r="N338">
        <v>0</v>
      </c>
      <c r="O338">
        <f t="shared" si="53"/>
        <v>40</v>
      </c>
      <c r="P338">
        <v>0</v>
      </c>
      <c r="Q338">
        <v>0</v>
      </c>
      <c r="R338">
        <v>0</v>
      </c>
      <c r="T338">
        <v>0</v>
      </c>
      <c r="U338">
        <v>0</v>
      </c>
      <c r="V338">
        <v>2490</v>
      </c>
      <c r="W338">
        <v>9</v>
      </c>
      <c r="X338">
        <v>1</v>
      </c>
      <c r="Y338">
        <v>0</v>
      </c>
      <c r="AA338">
        <f t="shared" si="54"/>
        <v>1</v>
      </c>
      <c r="AB338" t="str">
        <f t="shared" si="55"/>
        <v>1</v>
      </c>
      <c r="AC338">
        <f t="shared" si="56"/>
        <v>0</v>
      </c>
      <c r="AD338">
        <f t="shared" si="57"/>
        <v>0</v>
      </c>
      <c r="AE338">
        <f t="shared" si="58"/>
        <v>0</v>
      </c>
      <c r="AF338">
        <f t="shared" si="59"/>
        <v>0</v>
      </c>
    </row>
    <row r="339" spans="1:32" x14ac:dyDescent="0.3">
      <c r="A339">
        <v>36</v>
      </c>
      <c r="B339">
        <v>40</v>
      </c>
      <c r="C339">
        <v>153</v>
      </c>
      <c r="D339">
        <f t="shared" si="50"/>
        <v>17.087444999786406</v>
      </c>
      <c r="E339">
        <f t="shared" si="51"/>
        <v>0</v>
      </c>
      <c r="F339">
        <v>57</v>
      </c>
      <c r="G339">
        <f t="shared" si="52"/>
        <v>17</v>
      </c>
      <c r="H339">
        <v>0</v>
      </c>
      <c r="J339">
        <v>0</v>
      </c>
      <c r="K339">
        <v>0</v>
      </c>
      <c r="L339">
        <v>1</v>
      </c>
      <c r="M339">
        <v>39</v>
      </c>
      <c r="N339">
        <v>5</v>
      </c>
      <c r="O339">
        <f t="shared" si="53"/>
        <v>39.714285714285715</v>
      </c>
      <c r="P339">
        <v>1</v>
      </c>
      <c r="Q339">
        <v>0</v>
      </c>
      <c r="R339">
        <v>3</v>
      </c>
      <c r="S339" t="s">
        <v>53</v>
      </c>
      <c r="T339">
        <v>0</v>
      </c>
      <c r="U339">
        <v>0</v>
      </c>
      <c r="V339">
        <v>3390</v>
      </c>
      <c r="W339">
        <v>9</v>
      </c>
      <c r="X339">
        <v>1</v>
      </c>
      <c r="Y339">
        <v>0</v>
      </c>
      <c r="AA339">
        <f t="shared" si="54"/>
        <v>0</v>
      </c>
      <c r="AB339" t="str">
        <f t="shared" si="55"/>
        <v>0</v>
      </c>
      <c r="AC339">
        <f t="shared" si="56"/>
        <v>0</v>
      </c>
      <c r="AD339">
        <f t="shared" si="57"/>
        <v>0</v>
      </c>
      <c r="AE339">
        <f t="shared" si="58"/>
        <v>1</v>
      </c>
      <c r="AF339">
        <f t="shared" si="59"/>
        <v>0</v>
      </c>
    </row>
    <row r="340" spans="1:32" x14ac:dyDescent="0.3">
      <c r="A340">
        <v>19</v>
      </c>
      <c r="B340">
        <v>41</v>
      </c>
      <c r="C340">
        <v>153</v>
      </c>
      <c r="D340">
        <f t="shared" si="50"/>
        <v>17.514631124781069</v>
      </c>
      <c r="E340">
        <f t="shared" si="51"/>
        <v>0</v>
      </c>
      <c r="F340">
        <v>53</v>
      </c>
      <c r="G340">
        <f t="shared" si="52"/>
        <v>12</v>
      </c>
      <c r="H340">
        <v>0</v>
      </c>
      <c r="J340">
        <v>0</v>
      </c>
      <c r="K340">
        <v>0</v>
      </c>
      <c r="L340">
        <v>0</v>
      </c>
      <c r="M340">
        <v>37</v>
      </c>
      <c r="N340">
        <v>4</v>
      </c>
      <c r="O340">
        <f t="shared" si="53"/>
        <v>37.571428571428569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2720</v>
      </c>
      <c r="W340">
        <v>9</v>
      </c>
      <c r="X340">
        <v>1</v>
      </c>
      <c r="Y340">
        <v>0</v>
      </c>
      <c r="AA340">
        <f t="shared" si="54"/>
        <v>0</v>
      </c>
      <c r="AB340" t="str">
        <f t="shared" si="55"/>
        <v>0</v>
      </c>
      <c r="AC340">
        <f t="shared" si="56"/>
        <v>0</v>
      </c>
      <c r="AD340">
        <f t="shared" si="57"/>
        <v>0</v>
      </c>
      <c r="AE340">
        <f t="shared" si="58"/>
        <v>0</v>
      </c>
      <c r="AF340">
        <f t="shared" si="59"/>
        <v>0</v>
      </c>
    </row>
    <row r="341" spans="1:32" x14ac:dyDescent="0.3">
      <c r="A341">
        <v>24</v>
      </c>
      <c r="B341">
        <v>110</v>
      </c>
      <c r="C341">
        <v>165</v>
      </c>
      <c r="D341">
        <f t="shared" si="50"/>
        <v>40.404040404040408</v>
      </c>
      <c r="E341">
        <f t="shared" si="51"/>
        <v>3</v>
      </c>
      <c r="F341">
        <v>120</v>
      </c>
      <c r="G341">
        <f t="shared" si="52"/>
        <v>10</v>
      </c>
      <c r="H341">
        <v>1</v>
      </c>
      <c r="I341" t="s">
        <v>32</v>
      </c>
      <c r="J341">
        <v>0</v>
      </c>
      <c r="K341">
        <v>0</v>
      </c>
      <c r="L341">
        <v>1</v>
      </c>
      <c r="M341">
        <v>41</v>
      </c>
      <c r="N341">
        <v>2</v>
      </c>
      <c r="O341">
        <f t="shared" si="53"/>
        <v>41.285714285714285</v>
      </c>
      <c r="P341">
        <v>1</v>
      </c>
      <c r="Q341">
        <v>0</v>
      </c>
      <c r="R341">
        <v>3</v>
      </c>
      <c r="S341" t="s">
        <v>75</v>
      </c>
      <c r="T341">
        <v>0</v>
      </c>
      <c r="U341">
        <v>0</v>
      </c>
      <c r="V341">
        <v>2560</v>
      </c>
      <c r="W341">
        <v>9</v>
      </c>
      <c r="X341">
        <v>1</v>
      </c>
      <c r="Y341">
        <v>0</v>
      </c>
      <c r="AA341">
        <f t="shared" si="54"/>
        <v>1</v>
      </c>
      <c r="AB341" t="str">
        <f t="shared" si="55"/>
        <v>1</v>
      </c>
      <c r="AC341">
        <f t="shared" si="56"/>
        <v>0</v>
      </c>
      <c r="AD341">
        <f t="shared" si="57"/>
        <v>0</v>
      </c>
      <c r="AE341">
        <f t="shared" si="58"/>
        <v>1</v>
      </c>
      <c r="AF341">
        <f t="shared" si="59"/>
        <v>0</v>
      </c>
    </row>
    <row r="342" spans="1:32" x14ac:dyDescent="0.3">
      <c r="A342">
        <v>30</v>
      </c>
      <c r="B342">
        <v>57</v>
      </c>
      <c r="C342">
        <v>158</v>
      </c>
      <c r="D342">
        <f t="shared" si="50"/>
        <v>22.832879346258608</v>
      </c>
      <c r="E342">
        <f t="shared" si="51"/>
        <v>1</v>
      </c>
      <c r="F342">
        <v>57</v>
      </c>
      <c r="G342">
        <f t="shared" si="52"/>
        <v>0</v>
      </c>
      <c r="H342">
        <v>0</v>
      </c>
      <c r="J342">
        <v>0</v>
      </c>
      <c r="K342">
        <v>0</v>
      </c>
      <c r="L342">
        <v>0</v>
      </c>
      <c r="M342">
        <v>38</v>
      </c>
      <c r="N342">
        <v>3</v>
      </c>
      <c r="O342">
        <f t="shared" si="53"/>
        <v>38.428571428571431</v>
      </c>
      <c r="P342">
        <v>0</v>
      </c>
      <c r="Q342">
        <v>0</v>
      </c>
      <c r="R342">
        <v>3</v>
      </c>
      <c r="S342" t="s">
        <v>75</v>
      </c>
      <c r="T342">
        <v>0</v>
      </c>
      <c r="U342">
        <v>0</v>
      </c>
      <c r="V342">
        <v>2920</v>
      </c>
      <c r="W342">
        <v>9</v>
      </c>
      <c r="X342">
        <v>1</v>
      </c>
      <c r="Y342">
        <v>0</v>
      </c>
      <c r="AA342">
        <f t="shared" si="54"/>
        <v>0</v>
      </c>
      <c r="AB342" t="str">
        <f t="shared" si="55"/>
        <v>0</v>
      </c>
      <c r="AC342">
        <f t="shared" si="56"/>
        <v>0</v>
      </c>
      <c r="AD342">
        <f t="shared" si="57"/>
        <v>0</v>
      </c>
      <c r="AE342">
        <f t="shared" si="58"/>
        <v>1</v>
      </c>
      <c r="AF342">
        <f t="shared" si="59"/>
        <v>0</v>
      </c>
    </row>
    <row r="343" spans="1:32" x14ac:dyDescent="0.3">
      <c r="A343">
        <v>21</v>
      </c>
      <c r="B343">
        <v>56</v>
      </c>
      <c r="C343">
        <v>160</v>
      </c>
      <c r="D343">
        <f t="shared" si="50"/>
        <v>21.874999999999996</v>
      </c>
      <c r="E343">
        <f t="shared" si="51"/>
        <v>1</v>
      </c>
      <c r="F343">
        <v>88</v>
      </c>
      <c r="G343">
        <f t="shared" si="52"/>
        <v>32</v>
      </c>
      <c r="H343">
        <v>0</v>
      </c>
      <c r="J343">
        <v>0</v>
      </c>
      <c r="K343">
        <v>0</v>
      </c>
      <c r="L343">
        <v>0</v>
      </c>
      <c r="M343">
        <v>40</v>
      </c>
      <c r="N343">
        <v>0</v>
      </c>
      <c r="O343">
        <f t="shared" si="53"/>
        <v>40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3710</v>
      </c>
      <c r="W343">
        <v>9</v>
      </c>
      <c r="X343">
        <v>0</v>
      </c>
      <c r="Y343">
        <v>0</v>
      </c>
      <c r="AA343">
        <f t="shared" si="54"/>
        <v>1</v>
      </c>
      <c r="AB343" t="str">
        <f t="shared" si="55"/>
        <v>0</v>
      </c>
      <c r="AC343">
        <f t="shared" si="56"/>
        <v>0</v>
      </c>
      <c r="AD343">
        <f t="shared" si="57"/>
        <v>0</v>
      </c>
      <c r="AE343">
        <f t="shared" si="58"/>
        <v>0</v>
      </c>
      <c r="AF343">
        <f t="shared" si="59"/>
        <v>0</v>
      </c>
    </row>
    <row r="344" spans="1:32" x14ac:dyDescent="0.3">
      <c r="A344">
        <v>16</v>
      </c>
      <c r="B344">
        <v>52</v>
      </c>
      <c r="C344">
        <v>168</v>
      </c>
      <c r="D344">
        <f t="shared" si="50"/>
        <v>18.424036281179141</v>
      </c>
      <c r="E344">
        <f t="shared" si="51"/>
        <v>0</v>
      </c>
      <c r="F344">
        <v>60</v>
      </c>
      <c r="G344">
        <f t="shared" si="52"/>
        <v>8</v>
      </c>
      <c r="H344">
        <v>0</v>
      </c>
      <c r="J344">
        <v>0</v>
      </c>
      <c r="K344">
        <v>0</v>
      </c>
      <c r="L344">
        <v>0</v>
      </c>
      <c r="M344">
        <v>39</v>
      </c>
      <c r="N344">
        <v>1</v>
      </c>
      <c r="O344">
        <f t="shared" si="53"/>
        <v>39.142857142857146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2570</v>
      </c>
      <c r="W344">
        <v>10</v>
      </c>
      <c r="X344">
        <v>1</v>
      </c>
      <c r="Y344">
        <v>0</v>
      </c>
      <c r="AA344">
        <f t="shared" si="54"/>
        <v>0</v>
      </c>
      <c r="AB344" t="str">
        <f t="shared" si="55"/>
        <v>1</v>
      </c>
      <c r="AC344">
        <f t="shared" si="56"/>
        <v>0</v>
      </c>
      <c r="AD344">
        <f t="shared" si="57"/>
        <v>0</v>
      </c>
      <c r="AE344">
        <f t="shared" si="58"/>
        <v>0</v>
      </c>
      <c r="AF344">
        <f t="shared" si="59"/>
        <v>0</v>
      </c>
    </row>
    <row r="345" spans="1:32" x14ac:dyDescent="0.3">
      <c r="A345">
        <v>29</v>
      </c>
      <c r="B345">
        <v>89</v>
      </c>
      <c r="C345">
        <v>162</v>
      </c>
      <c r="D345">
        <f t="shared" si="50"/>
        <v>33.912513336381643</v>
      </c>
      <c r="E345">
        <f t="shared" si="51"/>
        <v>3</v>
      </c>
      <c r="F345">
        <v>100</v>
      </c>
      <c r="G345">
        <f t="shared" si="52"/>
        <v>11</v>
      </c>
      <c r="H345">
        <v>1</v>
      </c>
      <c r="I345" t="s">
        <v>32</v>
      </c>
      <c r="J345">
        <v>0</v>
      </c>
      <c r="K345">
        <v>0</v>
      </c>
      <c r="L345">
        <v>2</v>
      </c>
      <c r="M345">
        <v>39</v>
      </c>
      <c r="N345">
        <v>6</v>
      </c>
      <c r="O345">
        <f t="shared" si="53"/>
        <v>39.857142857142854</v>
      </c>
      <c r="P345">
        <v>0</v>
      </c>
      <c r="Q345">
        <v>0</v>
      </c>
      <c r="R345">
        <v>3</v>
      </c>
      <c r="S345" t="s">
        <v>35</v>
      </c>
      <c r="T345">
        <v>0</v>
      </c>
      <c r="U345">
        <v>0</v>
      </c>
      <c r="V345">
        <v>3560</v>
      </c>
      <c r="W345">
        <v>8</v>
      </c>
      <c r="X345">
        <v>1</v>
      </c>
      <c r="Y345">
        <v>0</v>
      </c>
      <c r="AA345">
        <f t="shared" si="54"/>
        <v>1</v>
      </c>
      <c r="AB345" t="str">
        <f t="shared" si="55"/>
        <v>0</v>
      </c>
      <c r="AC345">
        <f t="shared" si="56"/>
        <v>0</v>
      </c>
      <c r="AD345">
        <f t="shared" si="57"/>
        <v>0</v>
      </c>
      <c r="AE345">
        <f t="shared" si="58"/>
        <v>1</v>
      </c>
      <c r="AF345">
        <f t="shared" si="59"/>
        <v>0</v>
      </c>
    </row>
    <row r="346" spans="1:32" x14ac:dyDescent="0.3">
      <c r="A346">
        <v>19</v>
      </c>
      <c r="B346">
        <v>47</v>
      </c>
      <c r="C346">
        <v>154</v>
      </c>
      <c r="D346">
        <f t="shared" si="50"/>
        <v>19.817844493169169</v>
      </c>
      <c r="E346">
        <f t="shared" si="51"/>
        <v>1</v>
      </c>
      <c r="F346">
        <v>73</v>
      </c>
      <c r="G346">
        <f t="shared" si="52"/>
        <v>26</v>
      </c>
      <c r="H346">
        <v>0</v>
      </c>
      <c r="J346">
        <v>0</v>
      </c>
      <c r="K346">
        <v>0</v>
      </c>
      <c r="L346">
        <v>0</v>
      </c>
      <c r="M346">
        <v>37</v>
      </c>
      <c r="N346">
        <v>0</v>
      </c>
      <c r="O346">
        <f t="shared" si="53"/>
        <v>37</v>
      </c>
      <c r="P346">
        <v>0</v>
      </c>
      <c r="Q346">
        <v>1</v>
      </c>
      <c r="R346">
        <v>3</v>
      </c>
      <c r="S346" t="s">
        <v>43</v>
      </c>
      <c r="T346">
        <v>0</v>
      </c>
      <c r="U346">
        <v>0</v>
      </c>
      <c r="V346">
        <v>3220</v>
      </c>
      <c r="W346">
        <v>9</v>
      </c>
      <c r="X346">
        <v>1</v>
      </c>
      <c r="Y346">
        <v>0</v>
      </c>
      <c r="AA346">
        <f t="shared" si="54"/>
        <v>1</v>
      </c>
      <c r="AB346" t="str">
        <f t="shared" si="55"/>
        <v>0</v>
      </c>
      <c r="AC346">
        <f t="shared" si="56"/>
        <v>0</v>
      </c>
      <c r="AD346">
        <f t="shared" si="57"/>
        <v>0</v>
      </c>
      <c r="AE346">
        <f t="shared" si="58"/>
        <v>1</v>
      </c>
      <c r="AF346">
        <f t="shared" si="59"/>
        <v>0</v>
      </c>
    </row>
    <row r="347" spans="1:32" x14ac:dyDescent="0.3">
      <c r="A347">
        <v>26</v>
      </c>
      <c r="B347">
        <v>67</v>
      </c>
      <c r="C347">
        <v>155</v>
      </c>
      <c r="D347">
        <f t="shared" si="50"/>
        <v>27.887617065556707</v>
      </c>
      <c r="E347">
        <f t="shared" si="51"/>
        <v>3</v>
      </c>
      <c r="F347">
        <v>78</v>
      </c>
      <c r="G347">
        <f t="shared" si="52"/>
        <v>11</v>
      </c>
      <c r="H347">
        <v>1</v>
      </c>
      <c r="I347" t="s">
        <v>32</v>
      </c>
      <c r="J347">
        <v>0</v>
      </c>
      <c r="K347">
        <v>1</v>
      </c>
      <c r="L347">
        <v>1</v>
      </c>
      <c r="M347">
        <v>38</v>
      </c>
      <c r="N347">
        <v>6</v>
      </c>
      <c r="O347">
        <f t="shared" si="53"/>
        <v>38.857142857142854</v>
      </c>
      <c r="P347">
        <v>0</v>
      </c>
      <c r="Q347">
        <v>0</v>
      </c>
      <c r="R347">
        <v>3</v>
      </c>
      <c r="S347" t="s">
        <v>34</v>
      </c>
      <c r="T347">
        <v>0</v>
      </c>
      <c r="U347">
        <v>0</v>
      </c>
      <c r="V347">
        <v>3800</v>
      </c>
      <c r="W347">
        <v>8</v>
      </c>
      <c r="X347">
        <v>1</v>
      </c>
      <c r="Y347">
        <v>0</v>
      </c>
      <c r="AA347">
        <f t="shared" si="54"/>
        <v>1</v>
      </c>
      <c r="AB347" t="str">
        <f t="shared" si="55"/>
        <v>2</v>
      </c>
      <c r="AC347">
        <f t="shared" si="56"/>
        <v>0</v>
      </c>
      <c r="AD347">
        <f t="shared" si="57"/>
        <v>0</v>
      </c>
      <c r="AE347">
        <f t="shared" si="58"/>
        <v>1</v>
      </c>
      <c r="AF347">
        <f t="shared" si="59"/>
        <v>0</v>
      </c>
    </row>
    <row r="348" spans="1:32" x14ac:dyDescent="0.3">
      <c r="A348">
        <v>26</v>
      </c>
      <c r="B348">
        <v>82</v>
      </c>
      <c r="C348">
        <v>152</v>
      </c>
      <c r="D348">
        <f t="shared" si="50"/>
        <v>35.491689750692522</v>
      </c>
      <c r="E348">
        <f t="shared" si="51"/>
        <v>3</v>
      </c>
      <c r="F348">
        <v>85</v>
      </c>
      <c r="G348">
        <f t="shared" si="52"/>
        <v>3</v>
      </c>
      <c r="H348">
        <v>1</v>
      </c>
      <c r="I348" t="s">
        <v>32</v>
      </c>
      <c r="J348">
        <v>0</v>
      </c>
      <c r="K348">
        <v>1</v>
      </c>
      <c r="L348">
        <v>1</v>
      </c>
      <c r="M348">
        <v>39</v>
      </c>
      <c r="N348">
        <v>1</v>
      </c>
      <c r="O348">
        <f t="shared" si="53"/>
        <v>39.142857142857146</v>
      </c>
      <c r="P348">
        <v>1</v>
      </c>
      <c r="Q348">
        <v>0</v>
      </c>
      <c r="R348">
        <v>3</v>
      </c>
      <c r="S348" t="s">
        <v>34</v>
      </c>
      <c r="T348">
        <v>0</v>
      </c>
      <c r="U348">
        <v>0</v>
      </c>
      <c r="V348">
        <v>3640</v>
      </c>
      <c r="W348">
        <v>9</v>
      </c>
      <c r="X348">
        <v>1</v>
      </c>
      <c r="Y348">
        <v>0</v>
      </c>
      <c r="AA348">
        <f t="shared" si="54"/>
        <v>0</v>
      </c>
      <c r="AB348" t="str">
        <f t="shared" si="55"/>
        <v>0</v>
      </c>
      <c r="AC348">
        <f t="shared" si="56"/>
        <v>0</v>
      </c>
      <c r="AD348">
        <f t="shared" si="57"/>
        <v>0</v>
      </c>
      <c r="AE348">
        <f t="shared" si="58"/>
        <v>1</v>
      </c>
      <c r="AF348">
        <f t="shared" si="59"/>
        <v>0</v>
      </c>
    </row>
    <row r="349" spans="1:32" x14ac:dyDescent="0.3">
      <c r="A349">
        <v>32</v>
      </c>
      <c r="B349">
        <v>48</v>
      </c>
      <c r="C349">
        <v>160</v>
      </c>
      <c r="D349">
        <f t="shared" si="50"/>
        <v>18.749999999999996</v>
      </c>
      <c r="E349">
        <f t="shared" si="51"/>
        <v>1</v>
      </c>
      <c r="F349">
        <v>57</v>
      </c>
      <c r="G349">
        <f t="shared" si="52"/>
        <v>9</v>
      </c>
      <c r="H349">
        <v>0</v>
      </c>
      <c r="J349">
        <v>0</v>
      </c>
      <c r="K349">
        <v>0</v>
      </c>
      <c r="L349">
        <v>1</v>
      </c>
      <c r="M349">
        <v>41</v>
      </c>
      <c r="N349">
        <v>3</v>
      </c>
      <c r="O349">
        <f t="shared" si="53"/>
        <v>41.428571428571431</v>
      </c>
      <c r="P349">
        <v>0</v>
      </c>
      <c r="Q349">
        <v>0</v>
      </c>
      <c r="R349">
        <v>0</v>
      </c>
      <c r="T349">
        <v>2</v>
      </c>
      <c r="U349">
        <v>0</v>
      </c>
      <c r="V349">
        <v>3390</v>
      </c>
      <c r="W349">
        <v>9</v>
      </c>
      <c r="X349">
        <v>1</v>
      </c>
      <c r="Y349">
        <v>0</v>
      </c>
      <c r="AA349">
        <f t="shared" si="54"/>
        <v>0</v>
      </c>
      <c r="AB349" t="str">
        <f t="shared" si="55"/>
        <v>0</v>
      </c>
      <c r="AC349">
        <f t="shared" si="56"/>
        <v>0</v>
      </c>
      <c r="AD349">
        <f t="shared" si="57"/>
        <v>0</v>
      </c>
      <c r="AE349">
        <f t="shared" si="58"/>
        <v>0</v>
      </c>
      <c r="AF349">
        <f t="shared" si="59"/>
        <v>0</v>
      </c>
    </row>
    <row r="350" spans="1:32" x14ac:dyDescent="0.3">
      <c r="A350">
        <v>32</v>
      </c>
      <c r="B350">
        <v>66</v>
      </c>
      <c r="C350">
        <v>168</v>
      </c>
      <c r="D350">
        <f t="shared" si="50"/>
        <v>23.384353741496604</v>
      </c>
      <c r="E350">
        <f t="shared" si="51"/>
        <v>2</v>
      </c>
      <c r="F350">
        <v>78</v>
      </c>
      <c r="G350">
        <f t="shared" si="52"/>
        <v>12</v>
      </c>
      <c r="H350">
        <v>0</v>
      </c>
      <c r="J350">
        <v>0</v>
      </c>
      <c r="K350">
        <v>0</v>
      </c>
      <c r="L350">
        <v>2</v>
      </c>
      <c r="M350">
        <v>40</v>
      </c>
      <c r="N350">
        <v>3</v>
      </c>
      <c r="O350">
        <f t="shared" si="53"/>
        <v>40.428571428571431</v>
      </c>
      <c r="P350">
        <v>0</v>
      </c>
      <c r="Q350">
        <v>0</v>
      </c>
      <c r="R350">
        <v>0</v>
      </c>
      <c r="T350">
        <v>0</v>
      </c>
      <c r="U350">
        <v>0</v>
      </c>
      <c r="V350">
        <v>3000</v>
      </c>
      <c r="W350">
        <v>9</v>
      </c>
      <c r="X350">
        <v>1</v>
      </c>
      <c r="Y350">
        <v>0</v>
      </c>
      <c r="AA350">
        <f t="shared" si="54"/>
        <v>1</v>
      </c>
      <c r="AB350" t="str">
        <f t="shared" si="55"/>
        <v>0</v>
      </c>
      <c r="AC350">
        <f t="shared" si="56"/>
        <v>0</v>
      </c>
      <c r="AD350">
        <f t="shared" si="57"/>
        <v>0</v>
      </c>
      <c r="AE350">
        <f t="shared" si="58"/>
        <v>0</v>
      </c>
      <c r="AF350">
        <f t="shared" si="59"/>
        <v>0</v>
      </c>
    </row>
    <row r="351" spans="1:32" x14ac:dyDescent="0.3">
      <c r="A351">
        <v>28</v>
      </c>
      <c r="B351">
        <v>66</v>
      </c>
      <c r="C351">
        <v>162</v>
      </c>
      <c r="D351">
        <f t="shared" si="50"/>
        <v>25.14860539551897</v>
      </c>
      <c r="E351">
        <f t="shared" si="51"/>
        <v>3</v>
      </c>
      <c r="F351">
        <v>76</v>
      </c>
      <c r="G351">
        <f t="shared" si="52"/>
        <v>10</v>
      </c>
      <c r="H351">
        <v>1</v>
      </c>
      <c r="I351" t="s">
        <v>32</v>
      </c>
      <c r="J351">
        <v>0</v>
      </c>
      <c r="K351">
        <v>0</v>
      </c>
      <c r="L351">
        <v>0</v>
      </c>
      <c r="M351">
        <v>39</v>
      </c>
      <c r="N351">
        <v>2</v>
      </c>
      <c r="O351">
        <f t="shared" si="53"/>
        <v>39.285714285714285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2640</v>
      </c>
      <c r="W351">
        <v>9</v>
      </c>
      <c r="X351">
        <v>1</v>
      </c>
      <c r="Y351">
        <v>0</v>
      </c>
      <c r="AA351">
        <f t="shared" si="54"/>
        <v>1</v>
      </c>
      <c r="AB351" t="str">
        <f t="shared" si="55"/>
        <v>1</v>
      </c>
      <c r="AC351">
        <f t="shared" si="56"/>
        <v>0</v>
      </c>
      <c r="AD351">
        <f t="shared" si="57"/>
        <v>0</v>
      </c>
      <c r="AE351">
        <f t="shared" si="58"/>
        <v>0</v>
      </c>
      <c r="AF351">
        <f t="shared" si="59"/>
        <v>0</v>
      </c>
    </row>
    <row r="352" spans="1:32" x14ac:dyDescent="0.3">
      <c r="A352">
        <v>28</v>
      </c>
      <c r="B352">
        <v>75</v>
      </c>
      <c r="C352">
        <v>162</v>
      </c>
      <c r="D352">
        <f t="shared" si="50"/>
        <v>28.577960676726104</v>
      </c>
      <c r="E352">
        <f t="shared" si="51"/>
        <v>3</v>
      </c>
      <c r="F352">
        <v>92</v>
      </c>
      <c r="G352">
        <f t="shared" si="52"/>
        <v>17</v>
      </c>
      <c r="H352">
        <v>1</v>
      </c>
      <c r="I352" t="s">
        <v>32</v>
      </c>
      <c r="J352">
        <v>0</v>
      </c>
      <c r="K352">
        <v>0</v>
      </c>
      <c r="L352">
        <v>0</v>
      </c>
      <c r="M352">
        <v>38</v>
      </c>
      <c r="N352">
        <v>5</v>
      </c>
      <c r="O352">
        <f t="shared" si="53"/>
        <v>38.714285714285715</v>
      </c>
      <c r="P352">
        <v>1</v>
      </c>
      <c r="Q352">
        <v>0</v>
      </c>
      <c r="R352">
        <v>3</v>
      </c>
      <c r="S352" t="s">
        <v>62</v>
      </c>
      <c r="T352">
        <v>0</v>
      </c>
      <c r="U352">
        <v>0</v>
      </c>
      <c r="V352">
        <v>3000</v>
      </c>
      <c r="W352">
        <v>9</v>
      </c>
      <c r="X352">
        <v>1</v>
      </c>
      <c r="Y352">
        <v>0</v>
      </c>
      <c r="AA352">
        <f t="shared" si="54"/>
        <v>1</v>
      </c>
      <c r="AB352" t="str">
        <f t="shared" si="55"/>
        <v>0</v>
      </c>
      <c r="AC352">
        <f t="shared" si="56"/>
        <v>0</v>
      </c>
      <c r="AD352">
        <f t="shared" si="57"/>
        <v>0</v>
      </c>
      <c r="AE352">
        <f t="shared" si="58"/>
        <v>1</v>
      </c>
      <c r="AF352">
        <f t="shared" si="59"/>
        <v>0</v>
      </c>
    </row>
    <row r="353" spans="1:32" x14ac:dyDescent="0.3">
      <c r="A353">
        <v>16</v>
      </c>
      <c r="B353">
        <v>38</v>
      </c>
      <c r="C353">
        <v>150</v>
      </c>
      <c r="D353">
        <f t="shared" si="50"/>
        <v>16.888888888888889</v>
      </c>
      <c r="E353">
        <f t="shared" si="51"/>
        <v>0</v>
      </c>
      <c r="F353">
        <v>47</v>
      </c>
      <c r="G353">
        <f t="shared" si="52"/>
        <v>9</v>
      </c>
      <c r="H353">
        <v>0</v>
      </c>
      <c r="J353">
        <v>0</v>
      </c>
      <c r="K353">
        <v>0</v>
      </c>
      <c r="L353">
        <v>0</v>
      </c>
      <c r="M353">
        <v>38</v>
      </c>
      <c r="N353">
        <v>6</v>
      </c>
      <c r="O353">
        <f t="shared" si="53"/>
        <v>38.857142857142854</v>
      </c>
      <c r="P353">
        <v>0</v>
      </c>
      <c r="Q353">
        <v>0</v>
      </c>
      <c r="R353">
        <v>0</v>
      </c>
      <c r="T353">
        <v>0</v>
      </c>
      <c r="U353">
        <v>0</v>
      </c>
      <c r="V353">
        <v>2770</v>
      </c>
      <c r="W353">
        <v>9</v>
      </c>
      <c r="X353">
        <v>0</v>
      </c>
      <c r="Y353">
        <v>0</v>
      </c>
      <c r="AA353">
        <f t="shared" si="54"/>
        <v>0</v>
      </c>
      <c r="AB353" t="str">
        <f t="shared" si="55"/>
        <v>0</v>
      </c>
      <c r="AC353">
        <f t="shared" si="56"/>
        <v>0</v>
      </c>
      <c r="AD353">
        <f t="shared" si="57"/>
        <v>0</v>
      </c>
      <c r="AE353">
        <f t="shared" si="58"/>
        <v>0</v>
      </c>
      <c r="AF353">
        <f t="shared" si="59"/>
        <v>0</v>
      </c>
    </row>
    <row r="354" spans="1:32" x14ac:dyDescent="0.3">
      <c r="A354">
        <v>38</v>
      </c>
      <c r="B354">
        <v>54</v>
      </c>
      <c r="C354">
        <v>163</v>
      </c>
      <c r="D354">
        <f t="shared" si="50"/>
        <v>20.324438255109339</v>
      </c>
      <c r="E354">
        <f t="shared" si="51"/>
        <v>1</v>
      </c>
      <c r="F354">
        <v>76</v>
      </c>
      <c r="G354">
        <f t="shared" si="52"/>
        <v>22</v>
      </c>
      <c r="H354">
        <v>1</v>
      </c>
      <c r="I354" t="s">
        <v>76</v>
      </c>
      <c r="J354">
        <v>0</v>
      </c>
      <c r="K354">
        <v>0</v>
      </c>
      <c r="L354">
        <v>2</v>
      </c>
      <c r="M354">
        <v>39</v>
      </c>
      <c r="N354">
        <v>5</v>
      </c>
      <c r="O354">
        <f t="shared" si="53"/>
        <v>39.714285714285715</v>
      </c>
      <c r="P354">
        <v>0</v>
      </c>
      <c r="Q354">
        <v>1</v>
      </c>
      <c r="R354">
        <v>0</v>
      </c>
      <c r="T354">
        <v>0</v>
      </c>
      <c r="U354">
        <v>0</v>
      </c>
      <c r="V354">
        <v>2980</v>
      </c>
      <c r="W354">
        <v>8</v>
      </c>
      <c r="X354">
        <v>1</v>
      </c>
      <c r="Y354">
        <v>0</v>
      </c>
      <c r="AA354">
        <f t="shared" si="54"/>
        <v>1</v>
      </c>
      <c r="AB354" t="str">
        <f t="shared" si="55"/>
        <v>0</v>
      </c>
      <c r="AC354">
        <f t="shared" si="56"/>
        <v>0</v>
      </c>
      <c r="AD354">
        <f t="shared" si="57"/>
        <v>0</v>
      </c>
      <c r="AE354">
        <f t="shared" si="58"/>
        <v>0</v>
      </c>
      <c r="AF354">
        <f t="shared" si="59"/>
        <v>0</v>
      </c>
    </row>
    <row r="355" spans="1:32" x14ac:dyDescent="0.3">
      <c r="A355">
        <v>28</v>
      </c>
      <c r="B355">
        <v>43</v>
      </c>
      <c r="C355">
        <v>150</v>
      </c>
      <c r="D355">
        <f t="shared" si="50"/>
        <v>19.111111111111111</v>
      </c>
      <c r="E355">
        <f t="shared" si="51"/>
        <v>1</v>
      </c>
      <c r="F355">
        <v>54</v>
      </c>
      <c r="G355">
        <f t="shared" si="52"/>
        <v>11</v>
      </c>
      <c r="H355">
        <v>0</v>
      </c>
      <c r="J355">
        <v>0</v>
      </c>
      <c r="K355">
        <v>0</v>
      </c>
      <c r="L355">
        <v>0</v>
      </c>
      <c r="M355">
        <v>38</v>
      </c>
      <c r="N355">
        <v>6</v>
      </c>
      <c r="O355">
        <f t="shared" si="53"/>
        <v>38.857142857142854</v>
      </c>
      <c r="P355">
        <v>0</v>
      </c>
      <c r="Q355">
        <v>0</v>
      </c>
      <c r="R355">
        <v>0</v>
      </c>
      <c r="T355">
        <v>0</v>
      </c>
      <c r="U355">
        <v>0</v>
      </c>
      <c r="V355">
        <v>2990</v>
      </c>
      <c r="W355">
        <v>9</v>
      </c>
      <c r="X355">
        <v>1</v>
      </c>
      <c r="Y355">
        <v>0</v>
      </c>
      <c r="AA355">
        <f t="shared" si="54"/>
        <v>0</v>
      </c>
      <c r="AB355" t="str">
        <f t="shared" si="55"/>
        <v>0</v>
      </c>
      <c r="AC355">
        <f t="shared" si="56"/>
        <v>0</v>
      </c>
      <c r="AD355">
        <f t="shared" si="57"/>
        <v>0</v>
      </c>
      <c r="AE355">
        <f t="shared" si="58"/>
        <v>0</v>
      </c>
      <c r="AF355">
        <f t="shared" si="59"/>
        <v>0</v>
      </c>
    </row>
    <row r="356" spans="1:32" x14ac:dyDescent="0.3">
      <c r="A356">
        <v>33</v>
      </c>
      <c r="B356">
        <v>55</v>
      </c>
      <c r="C356">
        <v>151</v>
      </c>
      <c r="D356">
        <f t="shared" si="50"/>
        <v>24.121749046094468</v>
      </c>
      <c r="E356">
        <f t="shared" si="51"/>
        <v>2</v>
      </c>
      <c r="F356">
        <v>68</v>
      </c>
      <c r="G356">
        <f t="shared" si="52"/>
        <v>13</v>
      </c>
      <c r="H356">
        <v>0</v>
      </c>
      <c r="J356">
        <v>0</v>
      </c>
      <c r="K356">
        <v>0</v>
      </c>
      <c r="L356">
        <v>2</v>
      </c>
      <c r="M356">
        <v>38</v>
      </c>
      <c r="N356">
        <v>2</v>
      </c>
      <c r="O356">
        <f t="shared" si="53"/>
        <v>38.285714285714285</v>
      </c>
      <c r="P356">
        <v>1</v>
      </c>
      <c r="Q356">
        <v>0</v>
      </c>
      <c r="R356">
        <v>0</v>
      </c>
      <c r="T356">
        <v>0</v>
      </c>
      <c r="U356">
        <v>0</v>
      </c>
      <c r="V356">
        <v>3040</v>
      </c>
      <c r="W356">
        <v>8</v>
      </c>
      <c r="X356">
        <v>1</v>
      </c>
      <c r="Y356">
        <v>1</v>
      </c>
      <c r="Z356" t="s">
        <v>38</v>
      </c>
      <c r="AA356">
        <f t="shared" si="54"/>
        <v>1</v>
      </c>
      <c r="AB356" t="str">
        <f t="shared" si="55"/>
        <v>0</v>
      </c>
      <c r="AC356">
        <f t="shared" si="56"/>
        <v>0</v>
      </c>
      <c r="AD356">
        <f t="shared" si="57"/>
        <v>0</v>
      </c>
      <c r="AE356">
        <f t="shared" si="58"/>
        <v>0</v>
      </c>
      <c r="AF356">
        <f t="shared" si="59"/>
        <v>0</v>
      </c>
    </row>
    <row r="357" spans="1:32" x14ac:dyDescent="0.3">
      <c r="A357">
        <v>23</v>
      </c>
      <c r="B357">
        <v>66</v>
      </c>
      <c r="C357">
        <v>168</v>
      </c>
      <c r="D357">
        <f t="shared" si="50"/>
        <v>23.384353741496604</v>
      </c>
      <c r="E357">
        <f t="shared" si="51"/>
        <v>2</v>
      </c>
      <c r="F357">
        <v>83</v>
      </c>
      <c r="G357">
        <f t="shared" si="52"/>
        <v>17</v>
      </c>
      <c r="H357">
        <v>0</v>
      </c>
      <c r="J357">
        <v>0</v>
      </c>
      <c r="K357">
        <v>0</v>
      </c>
      <c r="L357">
        <v>2</v>
      </c>
      <c r="M357">
        <v>39</v>
      </c>
      <c r="N357">
        <v>1</v>
      </c>
      <c r="O357">
        <f t="shared" si="53"/>
        <v>39.142857142857146</v>
      </c>
      <c r="P357">
        <v>0</v>
      </c>
      <c r="Q357">
        <v>0</v>
      </c>
      <c r="R357">
        <v>0</v>
      </c>
      <c r="T357">
        <v>1</v>
      </c>
      <c r="U357">
        <v>0</v>
      </c>
      <c r="V357">
        <v>3200</v>
      </c>
      <c r="W357">
        <v>9</v>
      </c>
      <c r="X357">
        <v>1</v>
      </c>
      <c r="Y357">
        <v>0</v>
      </c>
      <c r="AA357">
        <f t="shared" si="54"/>
        <v>1</v>
      </c>
      <c r="AB357" t="str">
        <f t="shared" si="55"/>
        <v>0</v>
      </c>
      <c r="AC357">
        <f t="shared" si="56"/>
        <v>0</v>
      </c>
      <c r="AD357">
        <f t="shared" si="57"/>
        <v>0</v>
      </c>
      <c r="AE357">
        <f t="shared" si="58"/>
        <v>0</v>
      </c>
      <c r="AF357">
        <f t="shared" si="59"/>
        <v>0</v>
      </c>
    </row>
    <row r="358" spans="1:32" x14ac:dyDescent="0.3">
      <c r="A358">
        <v>25</v>
      </c>
      <c r="B358">
        <v>55</v>
      </c>
      <c r="C358">
        <v>157</v>
      </c>
      <c r="D358">
        <f t="shared" si="50"/>
        <v>22.313278429145196</v>
      </c>
      <c r="E358">
        <f t="shared" si="51"/>
        <v>1</v>
      </c>
      <c r="F358">
        <v>76</v>
      </c>
      <c r="G358">
        <f t="shared" si="52"/>
        <v>21</v>
      </c>
      <c r="H358">
        <v>0</v>
      </c>
      <c r="J358">
        <v>0</v>
      </c>
      <c r="K358">
        <v>0</v>
      </c>
      <c r="L358">
        <v>2</v>
      </c>
      <c r="M358">
        <v>40</v>
      </c>
      <c r="N358">
        <v>4</v>
      </c>
      <c r="O358">
        <f t="shared" si="53"/>
        <v>40.571428571428569</v>
      </c>
      <c r="P358">
        <v>0</v>
      </c>
      <c r="Q358">
        <v>0</v>
      </c>
      <c r="R358">
        <v>0</v>
      </c>
      <c r="T358">
        <v>1</v>
      </c>
      <c r="U358">
        <v>0</v>
      </c>
      <c r="V358">
        <v>3350</v>
      </c>
      <c r="W358">
        <v>8</v>
      </c>
      <c r="X358">
        <v>1</v>
      </c>
      <c r="Y358">
        <v>0</v>
      </c>
      <c r="AA358">
        <f t="shared" si="54"/>
        <v>1</v>
      </c>
      <c r="AB358" t="str">
        <f t="shared" si="55"/>
        <v>0</v>
      </c>
      <c r="AC358">
        <f t="shared" si="56"/>
        <v>0</v>
      </c>
      <c r="AD358">
        <f t="shared" si="57"/>
        <v>0</v>
      </c>
      <c r="AE358">
        <f t="shared" si="58"/>
        <v>0</v>
      </c>
      <c r="AF358">
        <f t="shared" si="59"/>
        <v>0</v>
      </c>
    </row>
    <row r="359" spans="1:32" x14ac:dyDescent="0.3">
      <c r="A359">
        <v>20</v>
      </c>
      <c r="B359">
        <v>42</v>
      </c>
      <c r="C359">
        <v>155</v>
      </c>
      <c r="D359">
        <f t="shared" si="50"/>
        <v>17.481789802289281</v>
      </c>
      <c r="E359">
        <f t="shared" si="51"/>
        <v>0</v>
      </c>
      <c r="F359">
        <v>51</v>
      </c>
      <c r="G359">
        <f t="shared" si="52"/>
        <v>9</v>
      </c>
      <c r="H359">
        <v>0</v>
      </c>
      <c r="J359">
        <v>0</v>
      </c>
      <c r="K359">
        <v>0</v>
      </c>
      <c r="L359">
        <v>0</v>
      </c>
      <c r="M359">
        <v>39</v>
      </c>
      <c r="N359">
        <v>0</v>
      </c>
      <c r="O359">
        <f t="shared" si="53"/>
        <v>39</v>
      </c>
      <c r="P359">
        <v>0</v>
      </c>
      <c r="Q359">
        <v>0</v>
      </c>
      <c r="R359">
        <v>3</v>
      </c>
      <c r="S359" t="s">
        <v>35</v>
      </c>
      <c r="T359">
        <v>0</v>
      </c>
      <c r="U359">
        <v>0</v>
      </c>
      <c r="V359">
        <v>3030</v>
      </c>
      <c r="W359">
        <v>9</v>
      </c>
      <c r="X359">
        <v>1</v>
      </c>
      <c r="Y359">
        <v>0</v>
      </c>
      <c r="AA359">
        <f t="shared" si="54"/>
        <v>0</v>
      </c>
      <c r="AB359" t="str">
        <f t="shared" si="55"/>
        <v>0</v>
      </c>
      <c r="AC359">
        <f t="shared" si="56"/>
        <v>0</v>
      </c>
      <c r="AD359">
        <f t="shared" si="57"/>
        <v>0</v>
      </c>
      <c r="AE359">
        <f t="shared" si="58"/>
        <v>1</v>
      </c>
      <c r="AF359">
        <f t="shared" si="59"/>
        <v>0</v>
      </c>
    </row>
    <row r="360" spans="1:32" x14ac:dyDescent="0.3">
      <c r="A360">
        <v>19</v>
      </c>
      <c r="B360">
        <v>45</v>
      </c>
      <c r="C360">
        <v>150</v>
      </c>
      <c r="D360">
        <f t="shared" si="50"/>
        <v>20</v>
      </c>
      <c r="E360">
        <f t="shared" si="51"/>
        <v>1</v>
      </c>
      <c r="F360">
        <v>46</v>
      </c>
      <c r="G360">
        <f t="shared" si="52"/>
        <v>1</v>
      </c>
      <c r="H360">
        <v>1</v>
      </c>
      <c r="I360" t="s">
        <v>44</v>
      </c>
      <c r="J360">
        <v>0</v>
      </c>
      <c r="K360">
        <v>0</v>
      </c>
      <c r="L360">
        <v>1</v>
      </c>
      <c r="M360">
        <v>38</v>
      </c>
      <c r="N360">
        <v>4</v>
      </c>
      <c r="O360">
        <f t="shared" si="53"/>
        <v>38.571428571428569</v>
      </c>
      <c r="P360">
        <v>0</v>
      </c>
      <c r="Q360">
        <v>0</v>
      </c>
      <c r="R360">
        <v>0</v>
      </c>
      <c r="T360">
        <v>0</v>
      </c>
      <c r="U360">
        <v>0</v>
      </c>
      <c r="V360">
        <v>2970</v>
      </c>
      <c r="W360">
        <v>9</v>
      </c>
      <c r="X360">
        <v>1</v>
      </c>
      <c r="Y360">
        <v>0</v>
      </c>
      <c r="AA360">
        <f t="shared" si="54"/>
        <v>0</v>
      </c>
      <c r="AB360" t="str">
        <f t="shared" si="55"/>
        <v>0</v>
      </c>
      <c r="AC360">
        <f t="shared" si="56"/>
        <v>0</v>
      </c>
      <c r="AD360">
        <f t="shared" si="57"/>
        <v>0</v>
      </c>
      <c r="AE360">
        <f t="shared" si="58"/>
        <v>0</v>
      </c>
      <c r="AF360">
        <f t="shared" si="59"/>
        <v>0</v>
      </c>
    </row>
    <row r="361" spans="1:32" x14ac:dyDescent="0.3">
      <c r="A361">
        <v>19</v>
      </c>
      <c r="B361">
        <v>67</v>
      </c>
      <c r="C361">
        <v>167</v>
      </c>
      <c r="D361">
        <f t="shared" si="50"/>
        <v>24.023808670084982</v>
      </c>
      <c r="E361">
        <f t="shared" si="51"/>
        <v>2</v>
      </c>
      <c r="F361">
        <v>86</v>
      </c>
      <c r="G361">
        <f t="shared" si="52"/>
        <v>19</v>
      </c>
      <c r="H361">
        <v>0</v>
      </c>
      <c r="J361">
        <v>0</v>
      </c>
      <c r="K361">
        <v>0</v>
      </c>
      <c r="L361">
        <v>0</v>
      </c>
      <c r="M361">
        <v>39</v>
      </c>
      <c r="N361">
        <v>1</v>
      </c>
      <c r="O361">
        <f t="shared" si="53"/>
        <v>39.142857142857146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2970</v>
      </c>
      <c r="W361">
        <v>9</v>
      </c>
      <c r="X361">
        <v>1</v>
      </c>
      <c r="Y361">
        <v>0</v>
      </c>
      <c r="AA361">
        <f t="shared" si="54"/>
        <v>1</v>
      </c>
      <c r="AB361" t="str">
        <f t="shared" si="55"/>
        <v>0</v>
      </c>
      <c r="AC361">
        <f t="shared" si="56"/>
        <v>0</v>
      </c>
      <c r="AD361">
        <f t="shared" si="57"/>
        <v>0</v>
      </c>
      <c r="AE361">
        <f t="shared" si="58"/>
        <v>0</v>
      </c>
      <c r="AF361">
        <f t="shared" si="59"/>
        <v>0</v>
      </c>
    </row>
    <row r="362" spans="1:32" x14ac:dyDescent="0.3">
      <c r="A362">
        <v>40</v>
      </c>
      <c r="B362">
        <v>50</v>
      </c>
      <c r="C362">
        <v>155</v>
      </c>
      <c r="D362">
        <f t="shared" si="50"/>
        <v>20.811654526534856</v>
      </c>
      <c r="E362">
        <f t="shared" si="51"/>
        <v>1</v>
      </c>
      <c r="F362">
        <v>61</v>
      </c>
      <c r="G362">
        <f t="shared" si="52"/>
        <v>11</v>
      </c>
      <c r="H362">
        <v>0</v>
      </c>
      <c r="J362">
        <v>0</v>
      </c>
      <c r="K362">
        <v>0</v>
      </c>
      <c r="L362">
        <v>0</v>
      </c>
      <c r="M362">
        <v>38</v>
      </c>
      <c r="N362">
        <v>4</v>
      </c>
      <c r="O362">
        <f t="shared" si="53"/>
        <v>38.571428571428569</v>
      </c>
      <c r="P362">
        <v>0</v>
      </c>
      <c r="Q362">
        <v>0</v>
      </c>
      <c r="R362">
        <v>3</v>
      </c>
      <c r="S362" t="s">
        <v>53</v>
      </c>
      <c r="T362">
        <v>0</v>
      </c>
      <c r="U362">
        <v>0</v>
      </c>
      <c r="V362">
        <v>2540</v>
      </c>
      <c r="W362">
        <v>8</v>
      </c>
      <c r="X362">
        <v>1</v>
      </c>
      <c r="Y362">
        <v>0</v>
      </c>
      <c r="AA362">
        <f t="shared" si="54"/>
        <v>0</v>
      </c>
      <c r="AB362" t="str">
        <f t="shared" si="55"/>
        <v>0</v>
      </c>
      <c r="AC362">
        <f t="shared" si="56"/>
        <v>0</v>
      </c>
      <c r="AD362">
        <f t="shared" si="57"/>
        <v>0</v>
      </c>
      <c r="AE362">
        <f t="shared" si="58"/>
        <v>1</v>
      </c>
      <c r="AF362">
        <f t="shared" si="59"/>
        <v>0</v>
      </c>
    </row>
    <row r="363" spans="1:32" x14ac:dyDescent="0.3">
      <c r="A363">
        <v>22</v>
      </c>
      <c r="B363">
        <v>64</v>
      </c>
      <c r="C363">
        <v>155</v>
      </c>
      <c r="D363">
        <f t="shared" si="50"/>
        <v>26.638917793964616</v>
      </c>
      <c r="E363">
        <f t="shared" si="51"/>
        <v>3</v>
      </c>
      <c r="F363">
        <v>82</v>
      </c>
      <c r="G363">
        <f t="shared" si="52"/>
        <v>18</v>
      </c>
      <c r="H363">
        <v>1</v>
      </c>
      <c r="I363" t="s">
        <v>32</v>
      </c>
      <c r="J363">
        <v>0</v>
      </c>
      <c r="K363">
        <v>1</v>
      </c>
      <c r="L363">
        <v>1</v>
      </c>
      <c r="M363">
        <v>39</v>
      </c>
      <c r="N363">
        <v>0</v>
      </c>
      <c r="O363">
        <f t="shared" si="53"/>
        <v>39</v>
      </c>
      <c r="P363">
        <v>0</v>
      </c>
      <c r="Q363">
        <v>0</v>
      </c>
      <c r="R363">
        <v>3</v>
      </c>
      <c r="S363" t="s">
        <v>34</v>
      </c>
      <c r="T363">
        <v>0</v>
      </c>
      <c r="U363">
        <v>0</v>
      </c>
      <c r="V363">
        <v>3210</v>
      </c>
      <c r="W363">
        <v>9</v>
      </c>
      <c r="X363">
        <v>1</v>
      </c>
      <c r="Y363">
        <v>0</v>
      </c>
      <c r="AA363">
        <f t="shared" si="54"/>
        <v>1</v>
      </c>
      <c r="AB363" t="str">
        <f t="shared" si="55"/>
        <v>0</v>
      </c>
      <c r="AC363">
        <f t="shared" si="56"/>
        <v>0</v>
      </c>
      <c r="AD363">
        <f t="shared" si="57"/>
        <v>0</v>
      </c>
      <c r="AE363">
        <f t="shared" si="58"/>
        <v>1</v>
      </c>
      <c r="AF363">
        <f t="shared" si="59"/>
        <v>0</v>
      </c>
    </row>
    <row r="364" spans="1:32" x14ac:dyDescent="0.3">
      <c r="A364">
        <v>36</v>
      </c>
      <c r="B364">
        <v>57</v>
      </c>
      <c r="C364">
        <v>165</v>
      </c>
      <c r="D364">
        <f t="shared" si="50"/>
        <v>20.936639118457304</v>
      </c>
      <c r="E364">
        <f t="shared" si="51"/>
        <v>1</v>
      </c>
      <c r="F364">
        <v>79</v>
      </c>
      <c r="G364">
        <f t="shared" si="52"/>
        <v>22</v>
      </c>
      <c r="H364">
        <v>0</v>
      </c>
      <c r="J364">
        <v>0</v>
      </c>
      <c r="K364">
        <v>0</v>
      </c>
      <c r="L364">
        <v>0</v>
      </c>
      <c r="M364">
        <v>38</v>
      </c>
      <c r="N364">
        <v>3</v>
      </c>
      <c r="O364">
        <f t="shared" si="53"/>
        <v>38.428571428571431</v>
      </c>
      <c r="P364">
        <v>0</v>
      </c>
      <c r="Q364">
        <v>0</v>
      </c>
      <c r="R364">
        <v>3</v>
      </c>
      <c r="S364" t="s">
        <v>53</v>
      </c>
      <c r="T364">
        <v>0</v>
      </c>
      <c r="U364">
        <v>0</v>
      </c>
      <c r="V364">
        <v>3540</v>
      </c>
      <c r="W364">
        <v>9</v>
      </c>
      <c r="X364">
        <v>1</v>
      </c>
      <c r="Y364">
        <v>0</v>
      </c>
      <c r="AA364">
        <f t="shared" si="54"/>
        <v>1</v>
      </c>
      <c r="AB364" t="str">
        <f t="shared" si="55"/>
        <v>0</v>
      </c>
      <c r="AC364">
        <f t="shared" si="56"/>
        <v>0</v>
      </c>
      <c r="AD364">
        <f t="shared" si="57"/>
        <v>0</v>
      </c>
      <c r="AE364">
        <f t="shared" si="58"/>
        <v>1</v>
      </c>
      <c r="AF364">
        <f t="shared" si="59"/>
        <v>0</v>
      </c>
    </row>
    <row r="365" spans="1:32" x14ac:dyDescent="0.3">
      <c r="A365">
        <v>30</v>
      </c>
      <c r="B365">
        <v>66</v>
      </c>
      <c r="C365">
        <v>158</v>
      </c>
      <c r="D365">
        <f t="shared" si="50"/>
        <v>26.438070821983651</v>
      </c>
      <c r="E365">
        <f t="shared" si="51"/>
        <v>3</v>
      </c>
      <c r="F365">
        <v>76</v>
      </c>
      <c r="G365">
        <f t="shared" si="52"/>
        <v>10</v>
      </c>
      <c r="H365">
        <v>1</v>
      </c>
      <c r="I365" t="s">
        <v>32</v>
      </c>
      <c r="J365">
        <v>0</v>
      </c>
      <c r="K365">
        <v>0</v>
      </c>
      <c r="L365">
        <v>1</v>
      </c>
      <c r="M365">
        <v>37</v>
      </c>
      <c r="N365">
        <v>6</v>
      </c>
      <c r="O365">
        <f t="shared" si="53"/>
        <v>37.857142857142854</v>
      </c>
      <c r="P365">
        <v>1</v>
      </c>
      <c r="Q365">
        <v>0</v>
      </c>
      <c r="R365">
        <v>3</v>
      </c>
      <c r="S365" t="s">
        <v>35</v>
      </c>
      <c r="T365">
        <v>0</v>
      </c>
      <c r="U365">
        <v>0</v>
      </c>
      <c r="V365">
        <v>3500</v>
      </c>
      <c r="W365">
        <v>9</v>
      </c>
      <c r="X365">
        <v>1</v>
      </c>
      <c r="Y365">
        <v>0</v>
      </c>
      <c r="AA365">
        <f t="shared" si="54"/>
        <v>1</v>
      </c>
      <c r="AB365" t="str">
        <f t="shared" si="55"/>
        <v>2</v>
      </c>
      <c r="AC365">
        <f t="shared" si="56"/>
        <v>0</v>
      </c>
      <c r="AD365">
        <f t="shared" si="57"/>
        <v>0</v>
      </c>
      <c r="AE365">
        <f t="shared" si="58"/>
        <v>1</v>
      </c>
      <c r="AF365">
        <f t="shared" si="59"/>
        <v>0</v>
      </c>
    </row>
    <row r="366" spans="1:32" x14ac:dyDescent="0.3">
      <c r="A366">
        <v>24</v>
      </c>
      <c r="B366">
        <v>67</v>
      </c>
      <c r="C366">
        <v>164</v>
      </c>
      <c r="D366">
        <f t="shared" si="50"/>
        <v>24.910767400356935</v>
      </c>
      <c r="E366">
        <f t="shared" si="51"/>
        <v>2</v>
      </c>
      <c r="F366">
        <v>64</v>
      </c>
      <c r="G366">
        <f t="shared" si="52"/>
        <v>-3</v>
      </c>
      <c r="H366">
        <v>0</v>
      </c>
      <c r="J366">
        <v>0</v>
      </c>
      <c r="K366">
        <v>0</v>
      </c>
      <c r="L366">
        <v>0</v>
      </c>
      <c r="M366">
        <v>38</v>
      </c>
      <c r="N366">
        <v>5</v>
      </c>
      <c r="O366">
        <f t="shared" si="53"/>
        <v>38.714285714285715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3380</v>
      </c>
      <c r="W366">
        <v>8</v>
      </c>
      <c r="X366">
        <v>0</v>
      </c>
      <c r="Y366">
        <v>0</v>
      </c>
      <c r="AA366">
        <f t="shared" si="54"/>
        <v>0</v>
      </c>
      <c r="AB366" t="str">
        <f t="shared" si="55"/>
        <v>0</v>
      </c>
      <c r="AC366">
        <f t="shared" si="56"/>
        <v>0</v>
      </c>
      <c r="AD366">
        <f t="shared" si="57"/>
        <v>0</v>
      </c>
      <c r="AE366">
        <f t="shared" si="58"/>
        <v>0</v>
      </c>
      <c r="AF366">
        <f t="shared" si="59"/>
        <v>0</v>
      </c>
    </row>
    <row r="367" spans="1:32" x14ac:dyDescent="0.3">
      <c r="A367">
        <v>27</v>
      </c>
      <c r="B367">
        <v>56</v>
      </c>
      <c r="C367">
        <v>150</v>
      </c>
      <c r="D367">
        <f t="shared" si="50"/>
        <v>24.888888888888889</v>
      </c>
      <c r="E367">
        <f t="shared" si="51"/>
        <v>2</v>
      </c>
      <c r="F367">
        <v>73</v>
      </c>
      <c r="G367">
        <f t="shared" si="52"/>
        <v>17</v>
      </c>
      <c r="H367">
        <v>1</v>
      </c>
      <c r="I367" t="s">
        <v>44</v>
      </c>
      <c r="J367">
        <v>0</v>
      </c>
      <c r="K367">
        <v>0</v>
      </c>
      <c r="L367">
        <v>0</v>
      </c>
      <c r="M367">
        <v>39</v>
      </c>
      <c r="N367">
        <v>1</v>
      </c>
      <c r="O367">
        <f t="shared" si="53"/>
        <v>39.142857142857146</v>
      </c>
      <c r="P367">
        <v>1</v>
      </c>
      <c r="Q367">
        <v>1</v>
      </c>
      <c r="R367">
        <v>3</v>
      </c>
      <c r="S367" t="s">
        <v>43</v>
      </c>
      <c r="T367">
        <v>0</v>
      </c>
      <c r="U367">
        <v>0</v>
      </c>
      <c r="V367">
        <v>3260</v>
      </c>
      <c r="W367">
        <v>9</v>
      </c>
      <c r="X367">
        <v>1</v>
      </c>
      <c r="Y367">
        <v>0</v>
      </c>
      <c r="AA367">
        <f t="shared" si="54"/>
        <v>1</v>
      </c>
      <c r="AB367" t="str">
        <f t="shared" si="55"/>
        <v>0</v>
      </c>
      <c r="AC367">
        <f t="shared" si="56"/>
        <v>0</v>
      </c>
      <c r="AD367">
        <f t="shared" si="57"/>
        <v>0</v>
      </c>
      <c r="AE367">
        <f t="shared" si="58"/>
        <v>1</v>
      </c>
      <c r="AF367">
        <f t="shared" si="59"/>
        <v>0</v>
      </c>
    </row>
    <row r="368" spans="1:32" x14ac:dyDescent="0.3">
      <c r="A368">
        <v>34</v>
      </c>
      <c r="B368">
        <v>65</v>
      </c>
      <c r="C368">
        <v>169</v>
      </c>
      <c r="D368">
        <f t="shared" si="50"/>
        <v>22.758306781975424</v>
      </c>
      <c r="E368">
        <f t="shared" si="51"/>
        <v>1</v>
      </c>
      <c r="F368">
        <v>78</v>
      </c>
      <c r="G368">
        <f t="shared" si="52"/>
        <v>13</v>
      </c>
      <c r="H368">
        <v>0</v>
      </c>
      <c r="J368">
        <v>0</v>
      </c>
      <c r="K368">
        <v>0</v>
      </c>
      <c r="L368">
        <v>0</v>
      </c>
      <c r="M368">
        <v>40</v>
      </c>
      <c r="N368">
        <v>0</v>
      </c>
      <c r="O368">
        <f t="shared" si="53"/>
        <v>40</v>
      </c>
      <c r="P368">
        <v>0</v>
      </c>
      <c r="Q368">
        <v>0</v>
      </c>
      <c r="R368">
        <v>3</v>
      </c>
      <c r="S368" t="s">
        <v>35</v>
      </c>
      <c r="T368">
        <v>0</v>
      </c>
      <c r="U368">
        <v>0</v>
      </c>
      <c r="V368">
        <v>3580</v>
      </c>
      <c r="W368">
        <v>9</v>
      </c>
      <c r="X368">
        <v>1</v>
      </c>
      <c r="Y368">
        <v>0</v>
      </c>
      <c r="AA368">
        <f t="shared" si="54"/>
        <v>0</v>
      </c>
      <c r="AB368" t="str">
        <f t="shared" si="55"/>
        <v>0</v>
      </c>
      <c r="AC368">
        <f t="shared" si="56"/>
        <v>0</v>
      </c>
      <c r="AD368">
        <f t="shared" si="57"/>
        <v>0</v>
      </c>
      <c r="AE368">
        <f t="shared" si="58"/>
        <v>1</v>
      </c>
      <c r="AF368">
        <f t="shared" si="59"/>
        <v>0</v>
      </c>
    </row>
    <row r="369" spans="1:32" x14ac:dyDescent="0.3">
      <c r="A369">
        <v>30</v>
      </c>
      <c r="B369">
        <v>60</v>
      </c>
      <c r="C369">
        <v>168</v>
      </c>
      <c r="D369">
        <f t="shared" si="50"/>
        <v>21.258503401360546</v>
      </c>
      <c r="E369">
        <f t="shared" si="51"/>
        <v>1</v>
      </c>
      <c r="F369">
        <v>82.5</v>
      </c>
      <c r="G369">
        <f t="shared" si="52"/>
        <v>22.5</v>
      </c>
      <c r="H369">
        <v>0</v>
      </c>
      <c r="J369">
        <v>0</v>
      </c>
      <c r="K369">
        <v>0</v>
      </c>
      <c r="L369">
        <v>0</v>
      </c>
      <c r="M369">
        <v>39</v>
      </c>
      <c r="N369">
        <v>2</v>
      </c>
      <c r="O369">
        <f t="shared" si="53"/>
        <v>39.285714285714285</v>
      </c>
      <c r="P369">
        <v>0</v>
      </c>
      <c r="Q369">
        <v>0</v>
      </c>
      <c r="R369">
        <v>3</v>
      </c>
      <c r="S369" t="s">
        <v>35</v>
      </c>
      <c r="T369">
        <v>0</v>
      </c>
      <c r="U369">
        <v>0</v>
      </c>
      <c r="V369">
        <v>4130</v>
      </c>
      <c r="W369">
        <v>8</v>
      </c>
      <c r="X369">
        <v>1</v>
      </c>
      <c r="Y369">
        <v>0</v>
      </c>
      <c r="AA369">
        <f t="shared" si="54"/>
        <v>1</v>
      </c>
      <c r="AB369" t="str">
        <f t="shared" si="55"/>
        <v>2</v>
      </c>
      <c r="AC369">
        <f t="shared" si="56"/>
        <v>1</v>
      </c>
      <c r="AD369">
        <f t="shared" si="57"/>
        <v>0</v>
      </c>
      <c r="AE369">
        <f t="shared" si="58"/>
        <v>1</v>
      </c>
      <c r="AF369">
        <f t="shared" si="59"/>
        <v>0</v>
      </c>
    </row>
    <row r="370" spans="1:32" x14ac:dyDescent="0.3">
      <c r="A370">
        <v>29</v>
      </c>
      <c r="B370">
        <v>63</v>
      </c>
      <c r="C370">
        <v>158</v>
      </c>
      <c r="D370">
        <f t="shared" si="50"/>
        <v>25.236340330075304</v>
      </c>
      <c r="E370">
        <f t="shared" si="51"/>
        <v>3</v>
      </c>
      <c r="F370">
        <v>75</v>
      </c>
      <c r="G370">
        <f t="shared" si="52"/>
        <v>12</v>
      </c>
      <c r="H370">
        <v>1</v>
      </c>
      <c r="I370" t="s">
        <v>77</v>
      </c>
      <c r="J370">
        <v>0</v>
      </c>
      <c r="K370">
        <v>0</v>
      </c>
      <c r="L370">
        <v>1</v>
      </c>
      <c r="M370">
        <v>39</v>
      </c>
      <c r="N370">
        <v>4</v>
      </c>
      <c r="O370">
        <f t="shared" si="53"/>
        <v>39.571428571428569</v>
      </c>
      <c r="P370">
        <v>1</v>
      </c>
      <c r="Q370">
        <v>0</v>
      </c>
      <c r="R370">
        <v>0</v>
      </c>
      <c r="T370">
        <v>0</v>
      </c>
      <c r="U370">
        <v>0</v>
      </c>
      <c r="V370">
        <v>3160</v>
      </c>
      <c r="W370">
        <v>10</v>
      </c>
      <c r="X370">
        <v>1</v>
      </c>
      <c r="Y370">
        <v>0</v>
      </c>
      <c r="AA370">
        <f t="shared" si="54"/>
        <v>1</v>
      </c>
      <c r="AB370" t="str">
        <f t="shared" si="55"/>
        <v>0</v>
      </c>
      <c r="AC370">
        <f t="shared" si="56"/>
        <v>0</v>
      </c>
      <c r="AD370">
        <f t="shared" si="57"/>
        <v>0</v>
      </c>
      <c r="AE370">
        <f t="shared" si="58"/>
        <v>0</v>
      </c>
      <c r="AF370">
        <f t="shared" si="59"/>
        <v>0</v>
      </c>
    </row>
    <row r="371" spans="1:32" x14ac:dyDescent="0.3">
      <c r="A371">
        <v>28</v>
      </c>
      <c r="B371">
        <v>44</v>
      </c>
      <c r="C371">
        <v>150</v>
      </c>
      <c r="D371">
        <f t="shared" si="50"/>
        <v>19.555555555555557</v>
      </c>
      <c r="E371">
        <f t="shared" si="51"/>
        <v>1</v>
      </c>
      <c r="F371">
        <v>61</v>
      </c>
      <c r="G371">
        <f t="shared" si="52"/>
        <v>17</v>
      </c>
      <c r="H371">
        <v>0</v>
      </c>
      <c r="J371">
        <v>0</v>
      </c>
      <c r="K371">
        <v>0</v>
      </c>
      <c r="L371">
        <v>1</v>
      </c>
      <c r="M371">
        <v>38</v>
      </c>
      <c r="N371">
        <v>6</v>
      </c>
      <c r="O371">
        <f t="shared" si="53"/>
        <v>38.857142857142854</v>
      </c>
      <c r="P371">
        <v>0</v>
      </c>
      <c r="Q371">
        <v>0</v>
      </c>
      <c r="R371">
        <v>0</v>
      </c>
      <c r="T371">
        <v>0</v>
      </c>
      <c r="U371">
        <v>0</v>
      </c>
      <c r="V371">
        <v>2680</v>
      </c>
      <c r="W371">
        <v>9</v>
      </c>
      <c r="X371">
        <v>1</v>
      </c>
      <c r="Y371">
        <v>0</v>
      </c>
      <c r="AA371">
        <f t="shared" si="54"/>
        <v>1</v>
      </c>
      <c r="AB371" t="str">
        <f t="shared" si="55"/>
        <v>0</v>
      </c>
      <c r="AC371">
        <f t="shared" si="56"/>
        <v>0</v>
      </c>
      <c r="AD371">
        <f t="shared" si="57"/>
        <v>0</v>
      </c>
      <c r="AE371">
        <f t="shared" si="58"/>
        <v>0</v>
      </c>
      <c r="AF371">
        <f t="shared" si="59"/>
        <v>0</v>
      </c>
    </row>
    <row r="372" spans="1:32" x14ac:dyDescent="0.3">
      <c r="A372">
        <v>40</v>
      </c>
      <c r="B372">
        <v>53</v>
      </c>
      <c r="C372">
        <v>160</v>
      </c>
      <c r="D372">
        <f t="shared" si="50"/>
        <v>20.703124999999996</v>
      </c>
      <c r="E372">
        <f t="shared" si="51"/>
        <v>1</v>
      </c>
      <c r="F372">
        <v>82</v>
      </c>
      <c r="G372">
        <f t="shared" si="52"/>
        <v>29</v>
      </c>
      <c r="H372">
        <v>0</v>
      </c>
      <c r="J372">
        <v>0</v>
      </c>
      <c r="K372">
        <v>0</v>
      </c>
      <c r="L372">
        <v>0</v>
      </c>
      <c r="M372">
        <v>39</v>
      </c>
      <c r="N372">
        <v>4</v>
      </c>
      <c r="O372">
        <f t="shared" si="53"/>
        <v>39.571428571428569</v>
      </c>
      <c r="P372">
        <v>1</v>
      </c>
      <c r="Q372">
        <v>1</v>
      </c>
      <c r="R372">
        <v>3</v>
      </c>
      <c r="S372" t="s">
        <v>54</v>
      </c>
      <c r="T372">
        <v>0</v>
      </c>
      <c r="U372">
        <v>0</v>
      </c>
      <c r="V372">
        <v>2270</v>
      </c>
      <c r="W372">
        <v>8</v>
      </c>
      <c r="X372">
        <v>1</v>
      </c>
      <c r="Y372">
        <v>0</v>
      </c>
      <c r="AA372">
        <f t="shared" si="54"/>
        <v>1</v>
      </c>
      <c r="AB372" t="str">
        <f t="shared" si="55"/>
        <v>1</v>
      </c>
      <c r="AC372">
        <f t="shared" si="56"/>
        <v>0</v>
      </c>
      <c r="AD372">
        <f t="shared" si="57"/>
        <v>0</v>
      </c>
      <c r="AE372">
        <f t="shared" si="58"/>
        <v>1</v>
      </c>
      <c r="AF372">
        <f t="shared" si="59"/>
        <v>0</v>
      </c>
    </row>
    <row r="373" spans="1:32" x14ac:dyDescent="0.3">
      <c r="A373">
        <v>21</v>
      </c>
      <c r="B373">
        <v>53</v>
      </c>
      <c r="C373">
        <v>154</v>
      </c>
      <c r="D373">
        <f t="shared" si="50"/>
        <v>22.347782088041829</v>
      </c>
      <c r="E373">
        <f t="shared" si="51"/>
        <v>1</v>
      </c>
      <c r="F373">
        <v>66</v>
      </c>
      <c r="G373">
        <f t="shared" si="52"/>
        <v>13</v>
      </c>
      <c r="H373">
        <v>0</v>
      </c>
      <c r="J373">
        <v>0</v>
      </c>
      <c r="K373">
        <v>0</v>
      </c>
      <c r="L373">
        <v>0</v>
      </c>
      <c r="M373">
        <v>40</v>
      </c>
      <c r="N373">
        <v>2</v>
      </c>
      <c r="O373">
        <f t="shared" si="53"/>
        <v>40.285714285714285</v>
      </c>
      <c r="P373">
        <v>0</v>
      </c>
      <c r="Q373">
        <v>0</v>
      </c>
      <c r="R373">
        <v>3</v>
      </c>
      <c r="S373" t="s">
        <v>35</v>
      </c>
      <c r="T373">
        <v>0</v>
      </c>
      <c r="U373">
        <v>0</v>
      </c>
      <c r="V373">
        <v>2890</v>
      </c>
      <c r="W373">
        <v>9</v>
      </c>
      <c r="X373">
        <v>1</v>
      </c>
      <c r="Y373">
        <v>0</v>
      </c>
      <c r="AA373">
        <f t="shared" si="54"/>
        <v>0</v>
      </c>
      <c r="AB373" t="str">
        <f t="shared" si="55"/>
        <v>0</v>
      </c>
      <c r="AC373">
        <f t="shared" si="56"/>
        <v>0</v>
      </c>
      <c r="AD373">
        <f t="shared" si="57"/>
        <v>0</v>
      </c>
      <c r="AE373">
        <f t="shared" si="58"/>
        <v>1</v>
      </c>
      <c r="AF373">
        <f t="shared" si="59"/>
        <v>0</v>
      </c>
    </row>
    <row r="374" spans="1:32" x14ac:dyDescent="0.3">
      <c r="A374">
        <v>29</v>
      </c>
      <c r="B374">
        <v>63</v>
      </c>
      <c r="C374">
        <v>155</v>
      </c>
      <c r="D374">
        <f t="shared" si="50"/>
        <v>26.22268470343392</v>
      </c>
      <c r="E374">
        <f t="shared" si="51"/>
        <v>3</v>
      </c>
      <c r="F374">
        <v>70</v>
      </c>
      <c r="G374">
        <f t="shared" si="52"/>
        <v>7</v>
      </c>
      <c r="H374">
        <v>1</v>
      </c>
      <c r="I374" t="s">
        <v>32</v>
      </c>
      <c r="J374">
        <v>0</v>
      </c>
      <c r="K374">
        <v>0</v>
      </c>
      <c r="L374">
        <v>2</v>
      </c>
      <c r="M374">
        <v>38</v>
      </c>
      <c r="N374">
        <v>6</v>
      </c>
      <c r="O374">
        <f t="shared" si="53"/>
        <v>38.857142857142854</v>
      </c>
      <c r="P374">
        <v>1</v>
      </c>
      <c r="Q374">
        <v>0</v>
      </c>
      <c r="R374">
        <v>0</v>
      </c>
      <c r="T374">
        <v>0</v>
      </c>
      <c r="U374">
        <v>0</v>
      </c>
      <c r="V374">
        <v>3030</v>
      </c>
      <c r="W374">
        <v>9</v>
      </c>
      <c r="X374">
        <v>1</v>
      </c>
      <c r="Y374">
        <v>0</v>
      </c>
      <c r="AA374">
        <f t="shared" si="54"/>
        <v>0</v>
      </c>
      <c r="AB374" t="str">
        <f t="shared" si="55"/>
        <v>0</v>
      </c>
      <c r="AC374">
        <f t="shared" si="56"/>
        <v>0</v>
      </c>
      <c r="AD374">
        <f t="shared" si="57"/>
        <v>0</v>
      </c>
      <c r="AE374">
        <f t="shared" si="58"/>
        <v>0</v>
      </c>
      <c r="AF374">
        <f t="shared" si="59"/>
        <v>0</v>
      </c>
    </row>
    <row r="375" spans="1:32" x14ac:dyDescent="0.3">
      <c r="A375">
        <v>15</v>
      </c>
      <c r="B375">
        <v>65</v>
      </c>
      <c r="C375">
        <v>160</v>
      </c>
      <c r="D375">
        <f t="shared" si="50"/>
        <v>25.390624999999996</v>
      </c>
      <c r="E375">
        <f t="shared" si="51"/>
        <v>3</v>
      </c>
      <c r="F375">
        <v>72</v>
      </c>
      <c r="G375">
        <f t="shared" si="52"/>
        <v>7</v>
      </c>
      <c r="H375">
        <v>1</v>
      </c>
      <c r="I375" t="s">
        <v>32</v>
      </c>
      <c r="J375">
        <v>0</v>
      </c>
      <c r="K375">
        <v>0</v>
      </c>
      <c r="L375">
        <v>0</v>
      </c>
      <c r="M375">
        <v>39</v>
      </c>
      <c r="N375">
        <v>6</v>
      </c>
      <c r="O375">
        <f t="shared" si="53"/>
        <v>39.857142857142854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2780</v>
      </c>
      <c r="W375">
        <v>9</v>
      </c>
      <c r="X375">
        <v>1</v>
      </c>
      <c r="Y375">
        <v>0</v>
      </c>
      <c r="AA375">
        <f t="shared" si="54"/>
        <v>0</v>
      </c>
      <c r="AB375" t="str">
        <f t="shared" si="55"/>
        <v>0</v>
      </c>
      <c r="AC375">
        <f t="shared" si="56"/>
        <v>0</v>
      </c>
      <c r="AD375">
        <f t="shared" si="57"/>
        <v>0</v>
      </c>
      <c r="AE375">
        <f t="shared" si="58"/>
        <v>0</v>
      </c>
      <c r="AF375">
        <f t="shared" si="59"/>
        <v>0</v>
      </c>
    </row>
    <row r="376" spans="1:32" x14ac:dyDescent="0.3">
      <c r="A376">
        <v>28</v>
      </c>
      <c r="B376">
        <v>52</v>
      </c>
      <c r="C376">
        <v>153</v>
      </c>
      <c r="D376">
        <f t="shared" si="50"/>
        <v>22.213678499722331</v>
      </c>
      <c r="E376">
        <f t="shared" si="51"/>
        <v>1</v>
      </c>
      <c r="F376">
        <v>64</v>
      </c>
      <c r="G376">
        <f t="shared" si="52"/>
        <v>12</v>
      </c>
      <c r="H376">
        <v>1</v>
      </c>
      <c r="I376" t="s">
        <v>56</v>
      </c>
      <c r="J376">
        <v>0</v>
      </c>
      <c r="K376">
        <v>0</v>
      </c>
      <c r="L376">
        <v>3</v>
      </c>
      <c r="M376">
        <v>39</v>
      </c>
      <c r="N376">
        <v>1</v>
      </c>
      <c r="O376">
        <f t="shared" si="53"/>
        <v>39.142857142857146</v>
      </c>
      <c r="P376">
        <v>0</v>
      </c>
      <c r="Q376">
        <v>0</v>
      </c>
      <c r="R376">
        <v>0</v>
      </c>
      <c r="T376">
        <v>0</v>
      </c>
      <c r="U376">
        <v>0</v>
      </c>
      <c r="V376">
        <v>3160</v>
      </c>
      <c r="W376">
        <v>8</v>
      </c>
      <c r="X376">
        <v>1</v>
      </c>
      <c r="Y376">
        <v>0</v>
      </c>
      <c r="AA376">
        <f t="shared" si="54"/>
        <v>0</v>
      </c>
      <c r="AB376" t="str">
        <f t="shared" si="55"/>
        <v>0</v>
      </c>
      <c r="AC376">
        <f t="shared" si="56"/>
        <v>0</v>
      </c>
      <c r="AD376">
        <f t="shared" si="57"/>
        <v>0</v>
      </c>
      <c r="AE376">
        <f t="shared" si="58"/>
        <v>0</v>
      </c>
      <c r="AF376">
        <f t="shared" si="59"/>
        <v>0</v>
      </c>
    </row>
    <row r="377" spans="1:32" x14ac:dyDescent="0.3">
      <c r="A377">
        <v>28</v>
      </c>
      <c r="B377">
        <v>43</v>
      </c>
      <c r="C377">
        <v>150</v>
      </c>
      <c r="D377">
        <f t="shared" si="50"/>
        <v>19.111111111111111</v>
      </c>
      <c r="E377">
        <f t="shared" si="51"/>
        <v>1</v>
      </c>
      <c r="F377">
        <v>58</v>
      </c>
      <c r="G377">
        <f t="shared" si="52"/>
        <v>15</v>
      </c>
      <c r="H377">
        <v>0</v>
      </c>
      <c r="J377">
        <v>0</v>
      </c>
      <c r="K377">
        <v>0</v>
      </c>
      <c r="L377">
        <v>1</v>
      </c>
      <c r="M377">
        <v>38</v>
      </c>
      <c r="N377">
        <v>4</v>
      </c>
      <c r="O377">
        <f t="shared" si="53"/>
        <v>38.571428571428569</v>
      </c>
      <c r="P377">
        <v>0</v>
      </c>
      <c r="Q377">
        <v>0</v>
      </c>
      <c r="R377">
        <v>0</v>
      </c>
      <c r="T377">
        <v>1</v>
      </c>
      <c r="U377">
        <v>0</v>
      </c>
      <c r="V377">
        <v>2860</v>
      </c>
      <c r="W377">
        <v>9</v>
      </c>
      <c r="X377">
        <v>0</v>
      </c>
      <c r="Y377">
        <v>0</v>
      </c>
      <c r="AA377">
        <f t="shared" si="54"/>
        <v>0</v>
      </c>
      <c r="AB377" t="str">
        <f t="shared" si="55"/>
        <v>0</v>
      </c>
      <c r="AC377">
        <f t="shared" si="56"/>
        <v>0</v>
      </c>
      <c r="AD377">
        <f t="shared" si="57"/>
        <v>0</v>
      </c>
      <c r="AE377">
        <f t="shared" si="58"/>
        <v>0</v>
      </c>
      <c r="AF377">
        <f t="shared" si="59"/>
        <v>0</v>
      </c>
    </row>
    <row r="378" spans="1:32" x14ac:dyDescent="0.3">
      <c r="A378">
        <v>29</v>
      </c>
      <c r="B378">
        <v>58</v>
      </c>
      <c r="C378">
        <v>159</v>
      </c>
      <c r="D378">
        <f t="shared" si="50"/>
        <v>22.942130453700404</v>
      </c>
      <c r="E378">
        <f t="shared" si="51"/>
        <v>1</v>
      </c>
      <c r="F378">
        <v>78</v>
      </c>
      <c r="G378">
        <f t="shared" si="52"/>
        <v>20</v>
      </c>
      <c r="H378">
        <v>0</v>
      </c>
      <c r="J378">
        <v>0</v>
      </c>
      <c r="K378">
        <v>0</v>
      </c>
      <c r="L378">
        <v>0</v>
      </c>
      <c r="M378">
        <v>40</v>
      </c>
      <c r="N378">
        <v>4</v>
      </c>
      <c r="O378">
        <f t="shared" si="53"/>
        <v>40.571428571428569</v>
      </c>
      <c r="P378">
        <v>0</v>
      </c>
      <c r="Q378">
        <v>0</v>
      </c>
      <c r="R378">
        <v>3</v>
      </c>
      <c r="S378" t="s">
        <v>35</v>
      </c>
      <c r="T378">
        <v>0</v>
      </c>
      <c r="U378">
        <v>0</v>
      </c>
      <c r="V378">
        <v>2900</v>
      </c>
      <c r="W378">
        <v>8</v>
      </c>
      <c r="X378">
        <v>1</v>
      </c>
      <c r="Y378">
        <v>0</v>
      </c>
      <c r="AA378">
        <f t="shared" si="54"/>
        <v>1</v>
      </c>
      <c r="AB378" t="str">
        <f t="shared" si="55"/>
        <v>0</v>
      </c>
      <c r="AC378">
        <f t="shared" si="56"/>
        <v>0</v>
      </c>
      <c r="AD378">
        <f t="shared" si="57"/>
        <v>0</v>
      </c>
      <c r="AE378">
        <f t="shared" si="58"/>
        <v>1</v>
      </c>
      <c r="AF378">
        <f t="shared" si="59"/>
        <v>0</v>
      </c>
    </row>
    <row r="379" spans="1:32" x14ac:dyDescent="0.3">
      <c r="A379">
        <v>21</v>
      </c>
      <c r="B379">
        <v>45</v>
      </c>
      <c r="C379">
        <v>158</v>
      </c>
      <c r="D379">
        <f t="shared" si="50"/>
        <v>18.025957378625218</v>
      </c>
      <c r="E379">
        <f t="shared" si="51"/>
        <v>0</v>
      </c>
      <c r="F379">
        <v>56</v>
      </c>
      <c r="G379">
        <f t="shared" si="52"/>
        <v>11</v>
      </c>
      <c r="H379">
        <v>0</v>
      </c>
      <c r="J379">
        <v>0</v>
      </c>
      <c r="K379">
        <v>0</v>
      </c>
      <c r="L379">
        <v>0</v>
      </c>
      <c r="M379">
        <v>40</v>
      </c>
      <c r="N379">
        <v>3</v>
      </c>
      <c r="O379">
        <f t="shared" si="53"/>
        <v>40.428571428571431</v>
      </c>
      <c r="P379">
        <v>0</v>
      </c>
      <c r="Q379">
        <v>0</v>
      </c>
      <c r="R379">
        <v>3</v>
      </c>
      <c r="S379" t="s">
        <v>43</v>
      </c>
      <c r="T379">
        <v>0</v>
      </c>
      <c r="U379">
        <v>0</v>
      </c>
      <c r="V379">
        <v>3200</v>
      </c>
      <c r="W379">
        <v>9</v>
      </c>
      <c r="X379">
        <v>1</v>
      </c>
      <c r="Y379">
        <v>0</v>
      </c>
      <c r="AA379">
        <f t="shared" si="54"/>
        <v>0</v>
      </c>
      <c r="AB379" t="str">
        <f t="shared" si="55"/>
        <v>0</v>
      </c>
      <c r="AC379">
        <f t="shared" si="56"/>
        <v>0</v>
      </c>
      <c r="AD379">
        <f t="shared" si="57"/>
        <v>0</v>
      </c>
      <c r="AE379">
        <f t="shared" si="58"/>
        <v>1</v>
      </c>
      <c r="AF379">
        <f t="shared" si="59"/>
        <v>0</v>
      </c>
    </row>
    <row r="380" spans="1:32" x14ac:dyDescent="0.3">
      <c r="A380">
        <v>21</v>
      </c>
      <c r="B380">
        <v>73.599999999999994</v>
      </c>
      <c r="C380">
        <v>163</v>
      </c>
      <c r="D380">
        <f t="shared" si="50"/>
        <v>27.701456584741617</v>
      </c>
      <c r="E380">
        <f t="shared" si="51"/>
        <v>3</v>
      </c>
      <c r="F380">
        <v>86</v>
      </c>
      <c r="G380">
        <f t="shared" si="52"/>
        <v>12.400000000000006</v>
      </c>
      <c r="H380">
        <v>1</v>
      </c>
      <c r="I380" t="s">
        <v>32</v>
      </c>
      <c r="J380">
        <v>0</v>
      </c>
      <c r="K380">
        <v>0</v>
      </c>
      <c r="L380">
        <v>0</v>
      </c>
      <c r="M380">
        <v>40</v>
      </c>
      <c r="N380">
        <v>5</v>
      </c>
      <c r="O380">
        <f t="shared" si="53"/>
        <v>40.714285714285715</v>
      </c>
      <c r="P380">
        <v>0</v>
      </c>
      <c r="Q380">
        <v>0</v>
      </c>
      <c r="R380">
        <v>3</v>
      </c>
      <c r="S380" t="s">
        <v>35</v>
      </c>
      <c r="T380">
        <v>0</v>
      </c>
      <c r="U380">
        <v>0</v>
      </c>
      <c r="V380">
        <v>3490</v>
      </c>
      <c r="W380">
        <v>9</v>
      </c>
      <c r="X380">
        <v>1</v>
      </c>
      <c r="Y380">
        <v>0</v>
      </c>
      <c r="AA380">
        <f t="shared" si="54"/>
        <v>1</v>
      </c>
      <c r="AB380" t="str">
        <f t="shared" si="55"/>
        <v>0</v>
      </c>
      <c r="AC380">
        <f t="shared" si="56"/>
        <v>0</v>
      </c>
      <c r="AD380">
        <f t="shared" si="57"/>
        <v>0</v>
      </c>
      <c r="AE380">
        <f t="shared" si="58"/>
        <v>1</v>
      </c>
      <c r="AF380">
        <f t="shared" si="59"/>
        <v>0</v>
      </c>
    </row>
    <row r="381" spans="1:32" x14ac:dyDescent="0.3">
      <c r="A381">
        <v>28</v>
      </c>
      <c r="B381">
        <v>48</v>
      </c>
      <c r="C381">
        <v>147</v>
      </c>
      <c r="D381">
        <f t="shared" si="50"/>
        <v>22.212966819380814</v>
      </c>
      <c r="E381">
        <f t="shared" si="51"/>
        <v>1</v>
      </c>
      <c r="F381">
        <v>60</v>
      </c>
      <c r="G381">
        <f t="shared" si="52"/>
        <v>12</v>
      </c>
      <c r="H381">
        <v>0</v>
      </c>
      <c r="J381">
        <v>0</v>
      </c>
      <c r="K381">
        <v>0</v>
      </c>
      <c r="L381">
        <v>1</v>
      </c>
      <c r="M381">
        <v>39</v>
      </c>
      <c r="N381">
        <v>2</v>
      </c>
      <c r="O381">
        <f t="shared" si="53"/>
        <v>39.285714285714285</v>
      </c>
      <c r="P381">
        <v>0</v>
      </c>
      <c r="Q381">
        <v>0</v>
      </c>
      <c r="R381">
        <v>0</v>
      </c>
      <c r="T381">
        <v>0</v>
      </c>
      <c r="U381">
        <v>0</v>
      </c>
      <c r="V381">
        <v>2900</v>
      </c>
      <c r="W381">
        <v>9</v>
      </c>
      <c r="X381">
        <v>1</v>
      </c>
      <c r="Y381">
        <v>0</v>
      </c>
      <c r="AA381">
        <f t="shared" si="54"/>
        <v>0</v>
      </c>
      <c r="AB381" t="str">
        <f t="shared" si="55"/>
        <v>0</v>
      </c>
      <c r="AC381">
        <f t="shared" si="56"/>
        <v>0</v>
      </c>
      <c r="AD381">
        <f t="shared" si="57"/>
        <v>0</v>
      </c>
      <c r="AE381">
        <f t="shared" si="58"/>
        <v>0</v>
      </c>
      <c r="AF381">
        <f t="shared" si="59"/>
        <v>0</v>
      </c>
    </row>
    <row r="382" spans="1:32" x14ac:dyDescent="0.3">
      <c r="A382">
        <v>24</v>
      </c>
      <c r="B382">
        <v>48</v>
      </c>
      <c r="C382">
        <v>165</v>
      </c>
      <c r="D382">
        <f t="shared" si="50"/>
        <v>17.630853994490359</v>
      </c>
      <c r="E382">
        <f t="shared" si="51"/>
        <v>0</v>
      </c>
      <c r="F382">
        <v>61</v>
      </c>
      <c r="G382">
        <f t="shared" si="52"/>
        <v>13</v>
      </c>
      <c r="H382">
        <v>0</v>
      </c>
      <c r="J382">
        <v>0</v>
      </c>
      <c r="K382">
        <v>0</v>
      </c>
      <c r="L382">
        <v>1</v>
      </c>
      <c r="M382">
        <v>39</v>
      </c>
      <c r="N382">
        <v>2</v>
      </c>
      <c r="O382">
        <f t="shared" si="53"/>
        <v>39.285714285714285</v>
      </c>
      <c r="P382">
        <v>0</v>
      </c>
      <c r="Q382">
        <v>0</v>
      </c>
      <c r="R382">
        <v>0</v>
      </c>
      <c r="T382">
        <v>0</v>
      </c>
      <c r="U382">
        <v>0</v>
      </c>
      <c r="V382">
        <v>3220</v>
      </c>
      <c r="W382">
        <v>8</v>
      </c>
      <c r="X382">
        <v>1</v>
      </c>
      <c r="Y382">
        <v>0</v>
      </c>
      <c r="AA382">
        <f t="shared" si="54"/>
        <v>0</v>
      </c>
      <c r="AB382" t="str">
        <f t="shared" si="55"/>
        <v>0</v>
      </c>
      <c r="AC382">
        <f t="shared" si="56"/>
        <v>0</v>
      </c>
      <c r="AD382">
        <f t="shared" si="57"/>
        <v>0</v>
      </c>
      <c r="AE382">
        <f t="shared" si="58"/>
        <v>0</v>
      </c>
      <c r="AF382">
        <f t="shared" si="59"/>
        <v>0</v>
      </c>
    </row>
    <row r="383" spans="1:32" x14ac:dyDescent="0.3">
      <c r="A383">
        <v>24</v>
      </c>
      <c r="B383">
        <v>46</v>
      </c>
      <c r="C383">
        <v>160</v>
      </c>
      <c r="D383">
        <f t="shared" si="50"/>
        <v>17.968749999999996</v>
      </c>
      <c r="E383">
        <f t="shared" si="51"/>
        <v>0</v>
      </c>
      <c r="F383">
        <v>58</v>
      </c>
      <c r="G383">
        <f t="shared" si="52"/>
        <v>12</v>
      </c>
      <c r="H383">
        <v>1</v>
      </c>
      <c r="I383" t="s">
        <v>78</v>
      </c>
      <c r="J383">
        <v>0</v>
      </c>
      <c r="K383">
        <v>0</v>
      </c>
      <c r="L383">
        <v>0</v>
      </c>
      <c r="M383">
        <v>38</v>
      </c>
      <c r="N383">
        <v>2</v>
      </c>
      <c r="O383">
        <f t="shared" si="53"/>
        <v>38.285714285714285</v>
      </c>
      <c r="P383">
        <v>0</v>
      </c>
      <c r="Q383">
        <v>0</v>
      </c>
      <c r="R383">
        <v>3</v>
      </c>
      <c r="S383" t="s">
        <v>78</v>
      </c>
      <c r="T383">
        <v>0</v>
      </c>
      <c r="U383">
        <v>0</v>
      </c>
      <c r="V383">
        <v>2400</v>
      </c>
      <c r="W383">
        <v>9</v>
      </c>
      <c r="X383">
        <v>1</v>
      </c>
      <c r="Y383">
        <v>0</v>
      </c>
      <c r="AA383">
        <f t="shared" si="54"/>
        <v>0</v>
      </c>
      <c r="AB383" t="str">
        <f t="shared" si="55"/>
        <v>1</v>
      </c>
      <c r="AC383">
        <f t="shared" si="56"/>
        <v>0</v>
      </c>
      <c r="AD383">
        <f t="shared" si="57"/>
        <v>0</v>
      </c>
      <c r="AE383">
        <f t="shared" si="58"/>
        <v>1</v>
      </c>
      <c r="AF383">
        <f t="shared" si="59"/>
        <v>0</v>
      </c>
    </row>
    <row r="384" spans="1:32" x14ac:dyDescent="0.3">
      <c r="A384">
        <v>33</v>
      </c>
      <c r="B384">
        <v>52</v>
      </c>
      <c r="C384">
        <v>160</v>
      </c>
      <c r="D384">
        <f t="shared" si="50"/>
        <v>20.312499999999996</v>
      </c>
      <c r="E384">
        <f t="shared" si="51"/>
        <v>1</v>
      </c>
      <c r="F384">
        <v>65</v>
      </c>
      <c r="G384">
        <f t="shared" si="52"/>
        <v>13</v>
      </c>
      <c r="H384">
        <v>0</v>
      </c>
      <c r="J384">
        <v>0</v>
      </c>
      <c r="K384">
        <v>0</v>
      </c>
      <c r="L384">
        <v>3</v>
      </c>
      <c r="M384">
        <v>40</v>
      </c>
      <c r="N384">
        <v>3</v>
      </c>
      <c r="O384">
        <f t="shared" si="53"/>
        <v>40.428571428571431</v>
      </c>
      <c r="P384">
        <v>0</v>
      </c>
      <c r="Q384">
        <v>0</v>
      </c>
      <c r="R384">
        <v>0</v>
      </c>
      <c r="T384">
        <v>2</v>
      </c>
      <c r="U384">
        <v>0</v>
      </c>
      <c r="V384">
        <v>3290</v>
      </c>
      <c r="W384">
        <v>9</v>
      </c>
      <c r="X384">
        <v>1</v>
      </c>
      <c r="Y384">
        <v>0</v>
      </c>
      <c r="AA384">
        <f t="shared" si="54"/>
        <v>0</v>
      </c>
      <c r="AB384" t="str">
        <f t="shared" si="55"/>
        <v>0</v>
      </c>
      <c r="AC384">
        <f t="shared" si="56"/>
        <v>0</v>
      </c>
      <c r="AD384">
        <f t="shared" si="57"/>
        <v>0</v>
      </c>
      <c r="AE384">
        <f t="shared" si="58"/>
        <v>0</v>
      </c>
      <c r="AF384">
        <f t="shared" si="59"/>
        <v>0</v>
      </c>
    </row>
    <row r="385" spans="1:32" x14ac:dyDescent="0.3">
      <c r="A385">
        <v>37</v>
      </c>
      <c r="B385">
        <v>67</v>
      </c>
      <c r="C385">
        <v>150</v>
      </c>
      <c r="D385">
        <f t="shared" si="50"/>
        <v>29.777777777777779</v>
      </c>
      <c r="E385">
        <f t="shared" si="51"/>
        <v>3</v>
      </c>
      <c r="F385">
        <v>70</v>
      </c>
      <c r="G385">
        <f t="shared" si="52"/>
        <v>3</v>
      </c>
      <c r="H385">
        <v>1</v>
      </c>
      <c r="I385" t="s">
        <v>32</v>
      </c>
      <c r="J385">
        <v>0</v>
      </c>
      <c r="K385">
        <v>1</v>
      </c>
      <c r="L385">
        <v>2</v>
      </c>
      <c r="M385">
        <v>38</v>
      </c>
      <c r="N385">
        <v>4</v>
      </c>
      <c r="O385">
        <f t="shared" si="53"/>
        <v>38.571428571428569</v>
      </c>
      <c r="P385">
        <v>0</v>
      </c>
      <c r="Q385">
        <v>0</v>
      </c>
      <c r="R385">
        <v>3</v>
      </c>
      <c r="S385" t="s">
        <v>34</v>
      </c>
      <c r="T385">
        <v>0</v>
      </c>
      <c r="U385">
        <v>0</v>
      </c>
      <c r="V385">
        <v>3450</v>
      </c>
      <c r="W385">
        <v>6</v>
      </c>
      <c r="X385">
        <v>2</v>
      </c>
      <c r="Y385">
        <v>0</v>
      </c>
      <c r="AA385">
        <f t="shared" si="54"/>
        <v>0</v>
      </c>
      <c r="AB385" t="str">
        <f t="shared" si="55"/>
        <v>0</v>
      </c>
      <c r="AC385">
        <f t="shared" si="56"/>
        <v>0</v>
      </c>
      <c r="AD385">
        <f t="shared" si="57"/>
        <v>1</v>
      </c>
      <c r="AE385">
        <f t="shared" si="58"/>
        <v>1</v>
      </c>
      <c r="AF385">
        <f t="shared" si="59"/>
        <v>1</v>
      </c>
    </row>
    <row r="386" spans="1:32" x14ac:dyDescent="0.3">
      <c r="A386">
        <v>27</v>
      </c>
      <c r="B386">
        <v>70</v>
      </c>
      <c r="C386">
        <v>160</v>
      </c>
      <c r="D386">
        <f t="shared" si="50"/>
        <v>27.343749999999996</v>
      </c>
      <c r="E386">
        <f t="shared" si="51"/>
        <v>3</v>
      </c>
      <c r="F386">
        <v>88</v>
      </c>
      <c r="G386">
        <f t="shared" si="52"/>
        <v>18</v>
      </c>
      <c r="H386">
        <v>1</v>
      </c>
      <c r="I386" t="s">
        <v>32</v>
      </c>
      <c r="J386">
        <v>0</v>
      </c>
      <c r="K386">
        <v>1</v>
      </c>
      <c r="L386">
        <v>1</v>
      </c>
      <c r="M386">
        <v>39</v>
      </c>
      <c r="N386">
        <v>0</v>
      </c>
      <c r="O386">
        <f t="shared" si="53"/>
        <v>39</v>
      </c>
      <c r="P386">
        <v>0</v>
      </c>
      <c r="Q386">
        <v>0</v>
      </c>
      <c r="R386">
        <v>3</v>
      </c>
      <c r="S386" t="s">
        <v>34</v>
      </c>
      <c r="T386">
        <v>0</v>
      </c>
      <c r="U386">
        <v>0</v>
      </c>
      <c r="V386">
        <v>3260</v>
      </c>
      <c r="W386">
        <v>8</v>
      </c>
      <c r="X386">
        <v>1</v>
      </c>
      <c r="Y386">
        <v>0</v>
      </c>
      <c r="AA386">
        <f t="shared" si="54"/>
        <v>1</v>
      </c>
      <c r="AB386" t="str">
        <f t="shared" si="55"/>
        <v>0</v>
      </c>
      <c r="AC386">
        <f t="shared" si="56"/>
        <v>0</v>
      </c>
      <c r="AD386">
        <f t="shared" si="57"/>
        <v>0</v>
      </c>
      <c r="AE386">
        <f t="shared" si="58"/>
        <v>1</v>
      </c>
      <c r="AF386">
        <f t="shared" si="59"/>
        <v>0</v>
      </c>
    </row>
    <row r="387" spans="1:32" x14ac:dyDescent="0.3">
      <c r="A387">
        <v>30</v>
      </c>
      <c r="B387">
        <v>74</v>
      </c>
      <c r="C387">
        <v>155</v>
      </c>
      <c r="D387">
        <f t="shared" si="50"/>
        <v>30.801248699271589</v>
      </c>
      <c r="E387">
        <f t="shared" si="51"/>
        <v>3</v>
      </c>
      <c r="F387">
        <v>72</v>
      </c>
      <c r="G387">
        <f t="shared" si="52"/>
        <v>-2</v>
      </c>
      <c r="H387">
        <v>1</v>
      </c>
      <c r="I387" t="s">
        <v>32</v>
      </c>
      <c r="J387">
        <v>0</v>
      </c>
      <c r="K387">
        <v>0</v>
      </c>
      <c r="L387">
        <v>3</v>
      </c>
      <c r="M387">
        <v>39</v>
      </c>
      <c r="N387">
        <v>0</v>
      </c>
      <c r="O387">
        <f t="shared" si="53"/>
        <v>39</v>
      </c>
      <c r="P387">
        <v>0</v>
      </c>
      <c r="Q387">
        <v>0</v>
      </c>
      <c r="R387">
        <v>3</v>
      </c>
      <c r="S387" t="s">
        <v>36</v>
      </c>
      <c r="T387">
        <v>0</v>
      </c>
      <c r="U387">
        <v>0</v>
      </c>
      <c r="V387">
        <v>2600</v>
      </c>
      <c r="W387">
        <v>9</v>
      </c>
      <c r="X387">
        <v>0</v>
      </c>
      <c r="Y387">
        <v>0</v>
      </c>
      <c r="AA387">
        <f t="shared" si="54"/>
        <v>0</v>
      </c>
      <c r="AB387" t="str">
        <f t="shared" si="55"/>
        <v>1</v>
      </c>
      <c r="AC387">
        <f t="shared" si="56"/>
        <v>0</v>
      </c>
      <c r="AD387">
        <f t="shared" si="57"/>
        <v>0</v>
      </c>
      <c r="AE387">
        <f t="shared" si="58"/>
        <v>1</v>
      </c>
      <c r="AF387">
        <f t="shared" si="59"/>
        <v>0</v>
      </c>
    </row>
    <row r="388" spans="1:32" x14ac:dyDescent="0.3">
      <c r="A388">
        <v>36</v>
      </c>
      <c r="B388">
        <v>49</v>
      </c>
      <c r="C388">
        <v>160</v>
      </c>
      <c r="D388">
        <f t="shared" ref="D388:D451" si="60">B388/((C388/100)^2)</f>
        <v>19.140624999999996</v>
      </c>
      <c r="E388">
        <f t="shared" ref="E388:E451" si="61">IF(D388&lt;18.5,0,IF(D388&lt;23,1,IF(D388&lt;25,2,3)))</f>
        <v>1</v>
      </c>
      <c r="F388">
        <v>62</v>
      </c>
      <c r="G388">
        <f t="shared" ref="G388:G451" si="62">F388-B388</f>
        <v>13</v>
      </c>
      <c r="H388">
        <v>0</v>
      </c>
      <c r="J388">
        <v>0</v>
      </c>
      <c r="K388">
        <v>0</v>
      </c>
      <c r="L388">
        <v>1</v>
      </c>
      <c r="M388">
        <v>39</v>
      </c>
      <c r="N388">
        <v>0</v>
      </c>
      <c r="O388">
        <f t="shared" ref="O388:O451" si="63">M388+(N388/7)</f>
        <v>39</v>
      </c>
      <c r="P388">
        <v>0</v>
      </c>
      <c r="Q388">
        <v>0</v>
      </c>
      <c r="R388">
        <v>0</v>
      </c>
      <c r="T388">
        <v>0</v>
      </c>
      <c r="U388">
        <v>0</v>
      </c>
      <c r="V388">
        <v>3100</v>
      </c>
      <c r="W388">
        <v>10</v>
      </c>
      <c r="X388">
        <v>0</v>
      </c>
      <c r="Y388">
        <v>0</v>
      </c>
      <c r="AA388">
        <f t="shared" ref="AA388:AA451" si="64">IF(OR(AND(E388=0,G388&gt;18.2),AND(E388=1,G388&gt;15.9),AND(E388=2,G388&gt;11.3),AND(E388=3,G388&gt;9.1)),1,0)</f>
        <v>0</v>
      </c>
      <c r="AB388" t="str">
        <f t="shared" ref="AB388:AB451" si="65">IF(OR(AND(O388&lt;38,V388&gt;3324),AND(O388&lt;39,V388&gt;3540),AND(O388&lt;40,V388&gt;3726),AND(O388&lt;42,V388&gt;3871)),"2",IF(OR(AND(O388&gt;36.9,V388&lt;2323),AND(O388&gt;37.9,V388&lt;2496),AND(O388&gt;38.9,V388&lt;2658),AND(O388&gt;39.9,V388&lt;2805)),"1","0"))</f>
        <v>0</v>
      </c>
      <c r="AC388">
        <f t="shared" ref="AC388:AC451" si="66">IF(V388&lt;4000,0,1)</f>
        <v>0</v>
      </c>
      <c r="AD388">
        <f t="shared" ref="AD388:AD451" si="67">IF(W388&gt;7,0,1)</f>
        <v>0</v>
      </c>
      <c r="AE388">
        <f t="shared" ref="AE388:AE451" si="68">IF(R388=3,1,0)</f>
        <v>0</v>
      </c>
      <c r="AF388">
        <f t="shared" ref="AF388:AF451" si="69">IF(X388=2,1,0)</f>
        <v>0</v>
      </c>
    </row>
    <row r="389" spans="1:32" x14ac:dyDescent="0.3">
      <c r="A389">
        <v>23</v>
      </c>
      <c r="B389">
        <v>40</v>
      </c>
      <c r="C389">
        <v>154</v>
      </c>
      <c r="D389">
        <f t="shared" si="60"/>
        <v>16.866250632484398</v>
      </c>
      <c r="E389">
        <f t="shared" si="61"/>
        <v>0</v>
      </c>
      <c r="F389">
        <v>54</v>
      </c>
      <c r="G389">
        <f t="shared" si="62"/>
        <v>14</v>
      </c>
      <c r="H389">
        <v>0</v>
      </c>
      <c r="J389">
        <v>0</v>
      </c>
      <c r="K389">
        <v>1</v>
      </c>
      <c r="L389">
        <v>1</v>
      </c>
      <c r="M389">
        <v>39</v>
      </c>
      <c r="N389">
        <v>0</v>
      </c>
      <c r="O389">
        <f t="shared" si="63"/>
        <v>39</v>
      </c>
      <c r="P389">
        <v>0</v>
      </c>
      <c r="Q389">
        <v>0</v>
      </c>
      <c r="R389">
        <v>3</v>
      </c>
      <c r="S389" t="s">
        <v>34</v>
      </c>
      <c r="T389">
        <v>0</v>
      </c>
      <c r="U389">
        <v>0</v>
      </c>
      <c r="V389">
        <v>3020</v>
      </c>
      <c r="W389">
        <v>9</v>
      </c>
      <c r="X389">
        <v>1</v>
      </c>
      <c r="Y389">
        <v>0</v>
      </c>
      <c r="AA389">
        <f t="shared" si="64"/>
        <v>0</v>
      </c>
      <c r="AB389" t="str">
        <f t="shared" si="65"/>
        <v>0</v>
      </c>
      <c r="AC389">
        <f t="shared" si="66"/>
        <v>0</v>
      </c>
      <c r="AD389">
        <f t="shared" si="67"/>
        <v>0</v>
      </c>
      <c r="AE389">
        <f t="shared" si="68"/>
        <v>1</v>
      </c>
      <c r="AF389">
        <f t="shared" si="69"/>
        <v>0</v>
      </c>
    </row>
    <row r="390" spans="1:32" x14ac:dyDescent="0.3">
      <c r="A390">
        <v>37</v>
      </c>
      <c r="B390">
        <v>43</v>
      </c>
      <c r="C390">
        <v>160</v>
      </c>
      <c r="D390">
        <f t="shared" si="60"/>
        <v>16.796874999999996</v>
      </c>
      <c r="E390">
        <f t="shared" si="61"/>
        <v>0</v>
      </c>
      <c r="F390">
        <v>60</v>
      </c>
      <c r="G390">
        <f t="shared" si="62"/>
        <v>17</v>
      </c>
      <c r="H390">
        <v>0</v>
      </c>
      <c r="J390">
        <v>0</v>
      </c>
      <c r="K390">
        <v>1</v>
      </c>
      <c r="L390">
        <v>1</v>
      </c>
      <c r="M390">
        <v>39</v>
      </c>
      <c r="N390">
        <v>0</v>
      </c>
      <c r="O390">
        <f t="shared" si="63"/>
        <v>39</v>
      </c>
      <c r="P390">
        <v>0</v>
      </c>
      <c r="Q390">
        <v>0</v>
      </c>
      <c r="R390">
        <v>3</v>
      </c>
      <c r="S390" t="s">
        <v>34</v>
      </c>
      <c r="T390">
        <v>0</v>
      </c>
      <c r="U390">
        <v>0</v>
      </c>
      <c r="V390">
        <v>3370</v>
      </c>
      <c r="W390">
        <v>9</v>
      </c>
      <c r="X390">
        <v>1</v>
      </c>
      <c r="Y390">
        <v>0</v>
      </c>
      <c r="AA390">
        <f t="shared" si="64"/>
        <v>0</v>
      </c>
      <c r="AB390" t="str">
        <f t="shared" si="65"/>
        <v>0</v>
      </c>
      <c r="AC390">
        <f t="shared" si="66"/>
        <v>0</v>
      </c>
      <c r="AD390">
        <f t="shared" si="67"/>
        <v>0</v>
      </c>
      <c r="AE390">
        <f t="shared" si="68"/>
        <v>1</v>
      </c>
      <c r="AF390">
        <f t="shared" si="69"/>
        <v>0</v>
      </c>
    </row>
    <row r="391" spans="1:32" x14ac:dyDescent="0.3">
      <c r="A391">
        <v>34</v>
      </c>
      <c r="B391">
        <v>41.7</v>
      </c>
      <c r="C391">
        <v>155</v>
      </c>
      <c r="D391">
        <f t="shared" si="60"/>
        <v>17.356919875130071</v>
      </c>
      <c r="E391">
        <f t="shared" si="61"/>
        <v>0</v>
      </c>
      <c r="F391">
        <v>49</v>
      </c>
      <c r="G391">
        <f t="shared" si="62"/>
        <v>7.2999999999999972</v>
      </c>
      <c r="H391">
        <v>0</v>
      </c>
      <c r="J391">
        <v>0</v>
      </c>
      <c r="K391">
        <v>0</v>
      </c>
      <c r="L391">
        <v>2</v>
      </c>
      <c r="M391">
        <v>38</v>
      </c>
      <c r="N391">
        <v>2</v>
      </c>
      <c r="O391">
        <f t="shared" si="63"/>
        <v>38.285714285714285</v>
      </c>
      <c r="P391">
        <v>0</v>
      </c>
      <c r="Q391">
        <v>0</v>
      </c>
      <c r="R391">
        <v>0</v>
      </c>
      <c r="T391">
        <v>1</v>
      </c>
      <c r="U391">
        <v>0</v>
      </c>
      <c r="V391">
        <v>3650</v>
      </c>
      <c r="W391">
        <v>9</v>
      </c>
      <c r="X391">
        <v>1</v>
      </c>
      <c r="Y391">
        <v>0</v>
      </c>
      <c r="AA391">
        <f t="shared" si="64"/>
        <v>0</v>
      </c>
      <c r="AB391" t="str">
        <f t="shared" si="65"/>
        <v>2</v>
      </c>
      <c r="AC391">
        <f t="shared" si="66"/>
        <v>0</v>
      </c>
      <c r="AD391">
        <f t="shared" si="67"/>
        <v>0</v>
      </c>
      <c r="AE391">
        <f t="shared" si="68"/>
        <v>0</v>
      </c>
      <c r="AF391">
        <f t="shared" si="69"/>
        <v>0</v>
      </c>
    </row>
    <row r="392" spans="1:32" x14ac:dyDescent="0.3">
      <c r="A392">
        <v>21</v>
      </c>
      <c r="B392">
        <v>50</v>
      </c>
      <c r="C392">
        <v>165</v>
      </c>
      <c r="D392">
        <f t="shared" si="60"/>
        <v>18.365472910927458</v>
      </c>
      <c r="E392">
        <f t="shared" si="61"/>
        <v>0</v>
      </c>
      <c r="F392">
        <v>68</v>
      </c>
      <c r="G392">
        <f t="shared" si="62"/>
        <v>18</v>
      </c>
      <c r="H392">
        <v>0</v>
      </c>
      <c r="J392">
        <v>0</v>
      </c>
      <c r="K392">
        <v>0</v>
      </c>
      <c r="L392">
        <v>1</v>
      </c>
      <c r="M392">
        <v>39</v>
      </c>
      <c r="N392">
        <v>5</v>
      </c>
      <c r="O392">
        <f t="shared" si="63"/>
        <v>39.714285714285715</v>
      </c>
      <c r="P392">
        <v>0</v>
      </c>
      <c r="Q392">
        <v>0</v>
      </c>
      <c r="R392">
        <v>3</v>
      </c>
      <c r="S392" t="s">
        <v>36</v>
      </c>
      <c r="T392">
        <v>0</v>
      </c>
      <c r="U392">
        <v>0</v>
      </c>
      <c r="V392">
        <v>3610</v>
      </c>
      <c r="W392">
        <v>8</v>
      </c>
      <c r="X392">
        <v>1</v>
      </c>
      <c r="Y392">
        <v>0</v>
      </c>
      <c r="AA392">
        <f t="shared" si="64"/>
        <v>0</v>
      </c>
      <c r="AB392" t="str">
        <f t="shared" si="65"/>
        <v>0</v>
      </c>
      <c r="AC392">
        <f t="shared" si="66"/>
        <v>0</v>
      </c>
      <c r="AD392">
        <f t="shared" si="67"/>
        <v>0</v>
      </c>
      <c r="AE392">
        <f t="shared" si="68"/>
        <v>1</v>
      </c>
      <c r="AF392">
        <f t="shared" si="69"/>
        <v>0</v>
      </c>
    </row>
    <row r="393" spans="1:32" x14ac:dyDescent="0.3">
      <c r="A393">
        <v>20</v>
      </c>
      <c r="B393">
        <v>39</v>
      </c>
      <c r="C393">
        <v>152</v>
      </c>
      <c r="D393">
        <f t="shared" si="60"/>
        <v>16.880193905817176</v>
      </c>
      <c r="E393">
        <f t="shared" si="61"/>
        <v>0</v>
      </c>
      <c r="F393">
        <v>52</v>
      </c>
      <c r="G393">
        <f t="shared" si="62"/>
        <v>13</v>
      </c>
      <c r="H393">
        <v>0</v>
      </c>
      <c r="J393">
        <v>0</v>
      </c>
      <c r="K393">
        <v>0</v>
      </c>
      <c r="L393">
        <v>0</v>
      </c>
      <c r="M393">
        <v>37</v>
      </c>
      <c r="N393">
        <v>3</v>
      </c>
      <c r="O393">
        <f t="shared" si="63"/>
        <v>37.428571428571431</v>
      </c>
      <c r="P393">
        <v>0</v>
      </c>
      <c r="Q393">
        <v>0</v>
      </c>
      <c r="R393">
        <v>0</v>
      </c>
      <c r="T393">
        <v>0</v>
      </c>
      <c r="U393">
        <v>0</v>
      </c>
      <c r="V393">
        <v>2930</v>
      </c>
      <c r="W393">
        <v>8</v>
      </c>
      <c r="X393">
        <v>1</v>
      </c>
      <c r="Y393">
        <v>0</v>
      </c>
      <c r="AA393">
        <f t="shared" si="64"/>
        <v>0</v>
      </c>
      <c r="AB393" t="str">
        <f t="shared" si="65"/>
        <v>0</v>
      </c>
      <c r="AC393">
        <f t="shared" si="66"/>
        <v>0</v>
      </c>
      <c r="AD393">
        <f t="shared" si="67"/>
        <v>0</v>
      </c>
      <c r="AE393">
        <f t="shared" si="68"/>
        <v>0</v>
      </c>
      <c r="AF393">
        <f t="shared" si="69"/>
        <v>0</v>
      </c>
    </row>
    <row r="394" spans="1:32" x14ac:dyDescent="0.3">
      <c r="A394">
        <v>37</v>
      </c>
      <c r="B394">
        <v>74</v>
      </c>
      <c r="C394">
        <v>155</v>
      </c>
      <c r="D394">
        <f t="shared" si="60"/>
        <v>30.801248699271589</v>
      </c>
      <c r="E394">
        <f t="shared" si="61"/>
        <v>3</v>
      </c>
      <c r="F394">
        <v>93</v>
      </c>
      <c r="G394">
        <f t="shared" si="62"/>
        <v>19</v>
      </c>
      <c r="H394">
        <v>1</v>
      </c>
      <c r="I394" t="s">
        <v>32</v>
      </c>
      <c r="J394">
        <v>0</v>
      </c>
      <c r="K394">
        <v>0</v>
      </c>
      <c r="L394">
        <v>3</v>
      </c>
      <c r="M394">
        <v>38</v>
      </c>
      <c r="N394">
        <v>5</v>
      </c>
      <c r="O394">
        <f t="shared" si="63"/>
        <v>38.714285714285715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3340</v>
      </c>
      <c r="W394">
        <v>9</v>
      </c>
      <c r="X394">
        <v>1</v>
      </c>
      <c r="Y394">
        <v>0</v>
      </c>
      <c r="AA394">
        <f t="shared" si="64"/>
        <v>1</v>
      </c>
      <c r="AB394" t="str">
        <f t="shared" si="65"/>
        <v>0</v>
      </c>
      <c r="AC394">
        <f t="shared" si="66"/>
        <v>0</v>
      </c>
      <c r="AD394">
        <f t="shared" si="67"/>
        <v>0</v>
      </c>
      <c r="AE394">
        <f t="shared" si="68"/>
        <v>0</v>
      </c>
      <c r="AF394">
        <f t="shared" si="69"/>
        <v>0</v>
      </c>
    </row>
    <row r="395" spans="1:32" x14ac:dyDescent="0.3">
      <c r="A395">
        <v>32</v>
      </c>
      <c r="B395">
        <v>52</v>
      </c>
      <c r="C395">
        <v>168</v>
      </c>
      <c r="D395">
        <f t="shared" si="60"/>
        <v>18.424036281179141</v>
      </c>
      <c r="E395">
        <f t="shared" si="61"/>
        <v>0</v>
      </c>
      <c r="F395">
        <v>66</v>
      </c>
      <c r="G395">
        <f t="shared" si="62"/>
        <v>14</v>
      </c>
      <c r="H395">
        <v>0</v>
      </c>
      <c r="J395">
        <v>0</v>
      </c>
      <c r="K395">
        <v>0</v>
      </c>
      <c r="L395">
        <v>2</v>
      </c>
      <c r="M395">
        <v>39</v>
      </c>
      <c r="N395">
        <v>2</v>
      </c>
      <c r="O395">
        <f t="shared" si="63"/>
        <v>39.285714285714285</v>
      </c>
      <c r="P395">
        <v>0</v>
      </c>
      <c r="Q395">
        <v>0</v>
      </c>
      <c r="R395">
        <v>0</v>
      </c>
      <c r="T395">
        <v>1</v>
      </c>
      <c r="U395">
        <v>0</v>
      </c>
      <c r="V395">
        <v>2960</v>
      </c>
      <c r="W395">
        <v>10</v>
      </c>
      <c r="X395">
        <v>0</v>
      </c>
      <c r="Y395">
        <v>0</v>
      </c>
      <c r="AA395">
        <f t="shared" si="64"/>
        <v>0</v>
      </c>
      <c r="AB395" t="str">
        <f t="shared" si="65"/>
        <v>0</v>
      </c>
      <c r="AC395">
        <f t="shared" si="66"/>
        <v>0</v>
      </c>
      <c r="AD395">
        <f t="shared" si="67"/>
        <v>0</v>
      </c>
      <c r="AE395">
        <f t="shared" si="68"/>
        <v>0</v>
      </c>
      <c r="AF395">
        <f t="shared" si="69"/>
        <v>0</v>
      </c>
    </row>
    <row r="396" spans="1:32" x14ac:dyDescent="0.3">
      <c r="A396">
        <v>18</v>
      </c>
      <c r="B396">
        <v>61</v>
      </c>
      <c r="C396">
        <v>160</v>
      </c>
      <c r="D396">
        <f t="shared" si="60"/>
        <v>23.828124999999996</v>
      </c>
      <c r="E396">
        <f t="shared" si="61"/>
        <v>2</v>
      </c>
      <c r="F396">
        <v>69</v>
      </c>
      <c r="G396">
        <f t="shared" si="62"/>
        <v>8</v>
      </c>
      <c r="H396">
        <v>1</v>
      </c>
      <c r="I396" t="s">
        <v>56</v>
      </c>
      <c r="J396">
        <v>0</v>
      </c>
      <c r="K396">
        <v>0</v>
      </c>
      <c r="L396">
        <v>1</v>
      </c>
      <c r="M396">
        <v>37</v>
      </c>
      <c r="N396">
        <v>1</v>
      </c>
      <c r="O396">
        <f t="shared" si="63"/>
        <v>37.142857142857146</v>
      </c>
      <c r="P396">
        <v>0</v>
      </c>
      <c r="Q396">
        <v>0</v>
      </c>
      <c r="R396">
        <v>0</v>
      </c>
      <c r="T396">
        <v>2</v>
      </c>
      <c r="U396">
        <v>0</v>
      </c>
      <c r="V396">
        <v>2600</v>
      </c>
      <c r="W396">
        <v>8</v>
      </c>
      <c r="X396">
        <v>1</v>
      </c>
      <c r="Y396">
        <v>0</v>
      </c>
      <c r="AA396">
        <f t="shared" si="64"/>
        <v>0</v>
      </c>
      <c r="AB396" t="str">
        <f t="shared" si="65"/>
        <v>0</v>
      </c>
      <c r="AC396">
        <f t="shared" si="66"/>
        <v>0</v>
      </c>
      <c r="AD396">
        <f t="shared" si="67"/>
        <v>0</v>
      </c>
      <c r="AE396">
        <f t="shared" si="68"/>
        <v>0</v>
      </c>
      <c r="AF396">
        <f t="shared" si="69"/>
        <v>0</v>
      </c>
    </row>
    <row r="397" spans="1:32" x14ac:dyDescent="0.3">
      <c r="A397">
        <v>33</v>
      </c>
      <c r="B397">
        <v>65</v>
      </c>
      <c r="C397">
        <v>150</v>
      </c>
      <c r="D397">
        <f t="shared" si="60"/>
        <v>28.888888888888889</v>
      </c>
      <c r="E397">
        <f t="shared" si="61"/>
        <v>3</v>
      </c>
      <c r="F397">
        <v>72</v>
      </c>
      <c r="G397">
        <f t="shared" si="62"/>
        <v>7</v>
      </c>
      <c r="H397">
        <v>1</v>
      </c>
      <c r="I397" t="s">
        <v>32</v>
      </c>
      <c r="J397">
        <v>0</v>
      </c>
      <c r="K397">
        <v>0</v>
      </c>
      <c r="L397">
        <v>1</v>
      </c>
      <c r="M397">
        <v>39</v>
      </c>
      <c r="N397">
        <v>5</v>
      </c>
      <c r="O397">
        <f t="shared" si="63"/>
        <v>39.714285714285715</v>
      </c>
      <c r="P397">
        <v>1</v>
      </c>
      <c r="Q397">
        <v>0</v>
      </c>
      <c r="R397">
        <v>0</v>
      </c>
      <c r="T397">
        <v>0</v>
      </c>
      <c r="U397">
        <v>0</v>
      </c>
      <c r="V397">
        <v>2800</v>
      </c>
      <c r="W397">
        <v>8</v>
      </c>
      <c r="X397">
        <v>1</v>
      </c>
      <c r="Y397">
        <v>0</v>
      </c>
      <c r="AA397">
        <f t="shared" si="64"/>
        <v>0</v>
      </c>
      <c r="AB397" t="str">
        <f t="shared" si="65"/>
        <v>0</v>
      </c>
      <c r="AC397">
        <f t="shared" si="66"/>
        <v>0</v>
      </c>
      <c r="AD397">
        <f t="shared" si="67"/>
        <v>0</v>
      </c>
      <c r="AE397">
        <f t="shared" si="68"/>
        <v>0</v>
      </c>
      <c r="AF397">
        <f t="shared" si="69"/>
        <v>0</v>
      </c>
    </row>
    <row r="398" spans="1:32" x14ac:dyDescent="0.3">
      <c r="A398">
        <v>30</v>
      </c>
      <c r="B398">
        <v>60</v>
      </c>
      <c r="C398">
        <v>167</v>
      </c>
      <c r="D398">
        <f t="shared" si="60"/>
        <v>21.513858510523864</v>
      </c>
      <c r="E398">
        <f t="shared" si="61"/>
        <v>1</v>
      </c>
      <c r="F398">
        <v>80</v>
      </c>
      <c r="G398">
        <f t="shared" si="62"/>
        <v>20</v>
      </c>
      <c r="H398">
        <v>0</v>
      </c>
      <c r="J398">
        <v>0</v>
      </c>
      <c r="K398">
        <v>0</v>
      </c>
      <c r="L398">
        <v>0</v>
      </c>
      <c r="M398">
        <v>39</v>
      </c>
      <c r="N398">
        <v>3</v>
      </c>
      <c r="O398">
        <f t="shared" si="63"/>
        <v>39.428571428571431</v>
      </c>
      <c r="P398">
        <v>1</v>
      </c>
      <c r="Q398">
        <v>0</v>
      </c>
      <c r="R398">
        <v>0</v>
      </c>
      <c r="T398">
        <v>3</v>
      </c>
      <c r="U398">
        <v>0</v>
      </c>
      <c r="V398">
        <v>3240</v>
      </c>
      <c r="W398">
        <v>8</v>
      </c>
      <c r="X398">
        <v>1</v>
      </c>
      <c r="Y398">
        <v>0</v>
      </c>
      <c r="AA398">
        <f t="shared" si="64"/>
        <v>1</v>
      </c>
      <c r="AB398" t="str">
        <f t="shared" si="65"/>
        <v>0</v>
      </c>
      <c r="AC398">
        <f t="shared" si="66"/>
        <v>0</v>
      </c>
      <c r="AD398">
        <f t="shared" si="67"/>
        <v>0</v>
      </c>
      <c r="AE398">
        <f t="shared" si="68"/>
        <v>0</v>
      </c>
      <c r="AF398">
        <f t="shared" si="69"/>
        <v>0</v>
      </c>
    </row>
    <row r="399" spans="1:32" x14ac:dyDescent="0.3">
      <c r="A399">
        <v>20</v>
      </c>
      <c r="B399">
        <v>46</v>
      </c>
      <c r="C399">
        <v>150</v>
      </c>
      <c r="D399">
        <f t="shared" si="60"/>
        <v>20.444444444444443</v>
      </c>
      <c r="E399">
        <f t="shared" si="61"/>
        <v>1</v>
      </c>
      <c r="F399">
        <v>50</v>
      </c>
      <c r="G399">
        <f t="shared" si="62"/>
        <v>4</v>
      </c>
      <c r="H399">
        <v>0</v>
      </c>
      <c r="J399">
        <v>0</v>
      </c>
      <c r="K399">
        <v>0</v>
      </c>
      <c r="L399">
        <v>0</v>
      </c>
      <c r="M399">
        <v>39</v>
      </c>
      <c r="N399">
        <v>5</v>
      </c>
      <c r="O399">
        <f t="shared" si="63"/>
        <v>39.714285714285715</v>
      </c>
      <c r="P399">
        <v>0</v>
      </c>
      <c r="Q399">
        <v>0</v>
      </c>
      <c r="R399">
        <v>0</v>
      </c>
      <c r="T399">
        <v>0</v>
      </c>
      <c r="U399">
        <v>0</v>
      </c>
      <c r="V399">
        <v>2530</v>
      </c>
      <c r="W399">
        <v>9</v>
      </c>
      <c r="X399">
        <v>0</v>
      </c>
      <c r="Y399">
        <v>0</v>
      </c>
      <c r="AA399">
        <f t="shared" si="64"/>
        <v>0</v>
      </c>
      <c r="AB399" t="str">
        <f t="shared" si="65"/>
        <v>1</v>
      </c>
      <c r="AC399">
        <f t="shared" si="66"/>
        <v>0</v>
      </c>
      <c r="AD399">
        <f t="shared" si="67"/>
        <v>0</v>
      </c>
      <c r="AE399">
        <f t="shared" si="68"/>
        <v>0</v>
      </c>
      <c r="AF399">
        <f t="shared" si="69"/>
        <v>0</v>
      </c>
    </row>
    <row r="400" spans="1:32" x14ac:dyDescent="0.3">
      <c r="A400">
        <v>33</v>
      </c>
      <c r="B400">
        <v>61</v>
      </c>
      <c r="C400">
        <v>160</v>
      </c>
      <c r="D400">
        <f t="shared" si="60"/>
        <v>23.828124999999996</v>
      </c>
      <c r="E400">
        <f t="shared" si="61"/>
        <v>2</v>
      </c>
      <c r="F400">
        <v>70</v>
      </c>
      <c r="G400">
        <f t="shared" si="62"/>
        <v>9</v>
      </c>
      <c r="H400">
        <v>0</v>
      </c>
      <c r="J400">
        <v>0</v>
      </c>
      <c r="K400">
        <v>0</v>
      </c>
      <c r="L400">
        <v>0</v>
      </c>
      <c r="M400">
        <v>38</v>
      </c>
      <c r="N400">
        <v>0</v>
      </c>
      <c r="O400">
        <f t="shared" si="63"/>
        <v>38</v>
      </c>
      <c r="P400">
        <v>0</v>
      </c>
      <c r="Q400">
        <v>0</v>
      </c>
      <c r="R400">
        <v>3</v>
      </c>
      <c r="S400" t="s">
        <v>75</v>
      </c>
      <c r="T400">
        <v>0</v>
      </c>
      <c r="U400">
        <v>0</v>
      </c>
      <c r="V400">
        <v>2370</v>
      </c>
      <c r="W400">
        <v>8</v>
      </c>
      <c r="X400">
        <v>1</v>
      </c>
      <c r="Y400">
        <v>0</v>
      </c>
      <c r="AA400">
        <f t="shared" si="64"/>
        <v>0</v>
      </c>
      <c r="AB400" t="str">
        <f t="shared" si="65"/>
        <v>1</v>
      </c>
      <c r="AC400">
        <f t="shared" si="66"/>
        <v>0</v>
      </c>
      <c r="AD400">
        <f t="shared" si="67"/>
        <v>0</v>
      </c>
      <c r="AE400">
        <f t="shared" si="68"/>
        <v>1</v>
      </c>
      <c r="AF400">
        <f t="shared" si="69"/>
        <v>0</v>
      </c>
    </row>
    <row r="401" spans="1:32" x14ac:dyDescent="0.3">
      <c r="A401">
        <v>39</v>
      </c>
      <c r="B401">
        <v>49</v>
      </c>
      <c r="C401">
        <v>160</v>
      </c>
      <c r="D401">
        <f t="shared" si="60"/>
        <v>19.140624999999996</v>
      </c>
      <c r="E401">
        <f t="shared" si="61"/>
        <v>1</v>
      </c>
      <c r="F401">
        <v>52</v>
      </c>
      <c r="G401">
        <f t="shared" si="62"/>
        <v>3</v>
      </c>
      <c r="H401">
        <v>0</v>
      </c>
      <c r="J401">
        <v>0</v>
      </c>
      <c r="K401">
        <v>0</v>
      </c>
      <c r="L401">
        <v>2</v>
      </c>
      <c r="M401">
        <v>37</v>
      </c>
      <c r="N401">
        <v>4</v>
      </c>
      <c r="O401">
        <f t="shared" si="63"/>
        <v>37.571428571428569</v>
      </c>
      <c r="P401">
        <v>1</v>
      </c>
      <c r="Q401">
        <v>0</v>
      </c>
      <c r="R401">
        <v>0</v>
      </c>
      <c r="T401">
        <v>0</v>
      </c>
      <c r="U401">
        <v>0</v>
      </c>
      <c r="V401">
        <v>2580</v>
      </c>
      <c r="W401">
        <v>9</v>
      </c>
      <c r="X401">
        <v>1</v>
      </c>
      <c r="Y401">
        <v>0</v>
      </c>
      <c r="AA401">
        <f t="shared" si="64"/>
        <v>0</v>
      </c>
      <c r="AB401" t="str">
        <f t="shared" si="65"/>
        <v>0</v>
      </c>
      <c r="AC401">
        <f t="shared" si="66"/>
        <v>0</v>
      </c>
      <c r="AD401">
        <f t="shared" si="67"/>
        <v>0</v>
      </c>
      <c r="AE401">
        <f t="shared" si="68"/>
        <v>0</v>
      </c>
      <c r="AF401">
        <f t="shared" si="69"/>
        <v>0</v>
      </c>
    </row>
    <row r="402" spans="1:32" x14ac:dyDescent="0.3">
      <c r="A402">
        <v>31</v>
      </c>
      <c r="B402">
        <v>77</v>
      </c>
      <c r="C402">
        <v>167</v>
      </c>
      <c r="D402">
        <f t="shared" si="60"/>
        <v>27.609451755172291</v>
      </c>
      <c r="E402">
        <f t="shared" si="61"/>
        <v>3</v>
      </c>
      <c r="F402">
        <v>90</v>
      </c>
      <c r="G402">
        <f t="shared" si="62"/>
        <v>13</v>
      </c>
      <c r="H402">
        <v>1</v>
      </c>
      <c r="I402" t="s">
        <v>32</v>
      </c>
      <c r="J402">
        <v>0</v>
      </c>
      <c r="K402">
        <v>0</v>
      </c>
      <c r="L402">
        <v>1</v>
      </c>
      <c r="M402">
        <v>39</v>
      </c>
      <c r="N402">
        <v>1</v>
      </c>
      <c r="O402">
        <f t="shared" si="63"/>
        <v>39.142857142857146</v>
      </c>
      <c r="P402">
        <v>1</v>
      </c>
      <c r="Q402">
        <v>0</v>
      </c>
      <c r="R402">
        <v>0</v>
      </c>
      <c r="T402">
        <v>2</v>
      </c>
      <c r="U402">
        <v>0</v>
      </c>
      <c r="V402">
        <v>3440</v>
      </c>
      <c r="W402">
        <v>9</v>
      </c>
      <c r="X402">
        <v>1</v>
      </c>
      <c r="Y402">
        <v>1</v>
      </c>
      <c r="Z402" t="s">
        <v>38</v>
      </c>
      <c r="AA402">
        <f t="shared" si="64"/>
        <v>1</v>
      </c>
      <c r="AB402" t="str">
        <f t="shared" si="65"/>
        <v>0</v>
      </c>
      <c r="AC402">
        <f t="shared" si="66"/>
        <v>0</v>
      </c>
      <c r="AD402">
        <f t="shared" si="67"/>
        <v>0</v>
      </c>
      <c r="AE402">
        <f t="shared" si="68"/>
        <v>0</v>
      </c>
      <c r="AF402">
        <f t="shared" si="69"/>
        <v>0</v>
      </c>
    </row>
    <row r="403" spans="1:32" x14ac:dyDescent="0.3">
      <c r="A403">
        <v>22</v>
      </c>
      <c r="B403">
        <v>48</v>
      </c>
      <c r="C403">
        <v>151</v>
      </c>
      <c r="D403">
        <f t="shared" si="60"/>
        <v>21.051708258409718</v>
      </c>
      <c r="E403">
        <f t="shared" si="61"/>
        <v>1</v>
      </c>
      <c r="F403">
        <v>54</v>
      </c>
      <c r="G403">
        <f t="shared" si="62"/>
        <v>6</v>
      </c>
      <c r="H403">
        <v>1</v>
      </c>
      <c r="I403" t="s">
        <v>44</v>
      </c>
      <c r="J403">
        <v>0</v>
      </c>
      <c r="K403">
        <v>0</v>
      </c>
      <c r="L403">
        <v>0</v>
      </c>
      <c r="M403">
        <v>39</v>
      </c>
      <c r="N403">
        <v>3</v>
      </c>
      <c r="O403">
        <f t="shared" si="63"/>
        <v>39.428571428571431</v>
      </c>
      <c r="P403">
        <v>0</v>
      </c>
      <c r="Q403">
        <v>0</v>
      </c>
      <c r="R403">
        <v>3</v>
      </c>
      <c r="S403" t="s">
        <v>43</v>
      </c>
      <c r="T403">
        <v>0</v>
      </c>
      <c r="U403">
        <v>0</v>
      </c>
      <c r="V403">
        <v>2920</v>
      </c>
      <c r="W403">
        <v>9</v>
      </c>
      <c r="X403">
        <v>1</v>
      </c>
      <c r="Y403">
        <v>0</v>
      </c>
      <c r="AA403">
        <f t="shared" si="64"/>
        <v>0</v>
      </c>
      <c r="AB403" t="str">
        <f t="shared" si="65"/>
        <v>0</v>
      </c>
      <c r="AC403">
        <f t="shared" si="66"/>
        <v>0</v>
      </c>
      <c r="AD403">
        <f t="shared" si="67"/>
        <v>0</v>
      </c>
      <c r="AE403">
        <f t="shared" si="68"/>
        <v>1</v>
      </c>
      <c r="AF403">
        <f t="shared" si="69"/>
        <v>0</v>
      </c>
    </row>
    <row r="404" spans="1:32" x14ac:dyDescent="0.3">
      <c r="A404">
        <v>28</v>
      </c>
      <c r="B404">
        <v>50</v>
      </c>
      <c r="C404">
        <v>157</v>
      </c>
      <c r="D404">
        <f t="shared" si="60"/>
        <v>20.28479857195018</v>
      </c>
      <c r="E404">
        <f t="shared" si="61"/>
        <v>1</v>
      </c>
      <c r="F404">
        <v>68</v>
      </c>
      <c r="G404">
        <f t="shared" si="62"/>
        <v>18</v>
      </c>
      <c r="H404">
        <v>0</v>
      </c>
      <c r="J404">
        <v>0</v>
      </c>
      <c r="K404">
        <v>0</v>
      </c>
      <c r="L404">
        <v>0</v>
      </c>
      <c r="M404">
        <v>39</v>
      </c>
      <c r="N404">
        <v>3</v>
      </c>
      <c r="O404">
        <f t="shared" si="63"/>
        <v>39.428571428571431</v>
      </c>
      <c r="P404">
        <v>0</v>
      </c>
      <c r="Q404">
        <v>1</v>
      </c>
      <c r="R404">
        <v>0</v>
      </c>
      <c r="T404">
        <v>0</v>
      </c>
      <c r="U404">
        <v>0</v>
      </c>
      <c r="V404">
        <v>2880</v>
      </c>
      <c r="W404">
        <v>8</v>
      </c>
      <c r="X404">
        <v>0</v>
      </c>
      <c r="Y404">
        <v>0</v>
      </c>
      <c r="AA404">
        <f t="shared" si="64"/>
        <v>1</v>
      </c>
      <c r="AB404" t="str">
        <f t="shared" si="65"/>
        <v>0</v>
      </c>
      <c r="AC404">
        <f t="shared" si="66"/>
        <v>0</v>
      </c>
      <c r="AD404">
        <f t="shared" si="67"/>
        <v>0</v>
      </c>
      <c r="AE404">
        <f t="shared" si="68"/>
        <v>0</v>
      </c>
      <c r="AF404">
        <f t="shared" si="69"/>
        <v>0</v>
      </c>
    </row>
    <row r="405" spans="1:32" x14ac:dyDescent="0.3">
      <c r="A405">
        <v>38</v>
      </c>
      <c r="B405">
        <v>46</v>
      </c>
      <c r="C405">
        <v>150</v>
      </c>
      <c r="D405">
        <f t="shared" si="60"/>
        <v>20.444444444444443</v>
      </c>
      <c r="E405">
        <f t="shared" si="61"/>
        <v>1</v>
      </c>
      <c r="F405">
        <v>55</v>
      </c>
      <c r="G405">
        <f t="shared" si="62"/>
        <v>9</v>
      </c>
      <c r="H405">
        <v>0</v>
      </c>
      <c r="J405">
        <v>0</v>
      </c>
      <c r="K405">
        <v>0</v>
      </c>
      <c r="L405">
        <v>2</v>
      </c>
      <c r="M405">
        <v>38</v>
      </c>
      <c r="N405">
        <v>1</v>
      </c>
      <c r="O405">
        <f t="shared" si="63"/>
        <v>38.142857142857146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3120</v>
      </c>
      <c r="W405">
        <v>9</v>
      </c>
      <c r="X405">
        <v>1</v>
      </c>
      <c r="Y405">
        <v>0</v>
      </c>
      <c r="AA405">
        <f t="shared" si="64"/>
        <v>0</v>
      </c>
      <c r="AB405" t="str">
        <f t="shared" si="65"/>
        <v>0</v>
      </c>
      <c r="AC405">
        <f t="shared" si="66"/>
        <v>0</v>
      </c>
      <c r="AD405">
        <f t="shared" si="67"/>
        <v>0</v>
      </c>
      <c r="AE405">
        <f t="shared" si="68"/>
        <v>0</v>
      </c>
      <c r="AF405">
        <f t="shared" si="69"/>
        <v>0</v>
      </c>
    </row>
    <row r="406" spans="1:32" x14ac:dyDescent="0.3">
      <c r="A406">
        <v>30</v>
      </c>
      <c r="B406">
        <v>81</v>
      </c>
      <c r="C406">
        <v>154</v>
      </c>
      <c r="D406">
        <f t="shared" si="60"/>
        <v>34.154157530780907</v>
      </c>
      <c r="E406">
        <f t="shared" si="61"/>
        <v>3</v>
      </c>
      <c r="F406">
        <v>99</v>
      </c>
      <c r="G406">
        <f t="shared" si="62"/>
        <v>18</v>
      </c>
      <c r="H406">
        <v>1</v>
      </c>
      <c r="I406" t="s">
        <v>79</v>
      </c>
      <c r="J406">
        <v>0</v>
      </c>
      <c r="K406">
        <v>0</v>
      </c>
      <c r="L406">
        <v>1</v>
      </c>
      <c r="M406">
        <v>39</v>
      </c>
      <c r="N406">
        <v>4</v>
      </c>
      <c r="O406">
        <f t="shared" si="63"/>
        <v>39.571428571428569</v>
      </c>
      <c r="P406">
        <v>0</v>
      </c>
      <c r="Q406">
        <v>0</v>
      </c>
      <c r="R406">
        <v>3</v>
      </c>
      <c r="S406" t="s">
        <v>78</v>
      </c>
      <c r="T406">
        <v>0</v>
      </c>
      <c r="U406">
        <v>0</v>
      </c>
      <c r="V406">
        <v>3050</v>
      </c>
      <c r="W406">
        <v>9</v>
      </c>
      <c r="X406">
        <v>1</v>
      </c>
      <c r="Y406">
        <v>0</v>
      </c>
      <c r="AA406">
        <f t="shared" si="64"/>
        <v>1</v>
      </c>
      <c r="AB406" t="str">
        <f t="shared" si="65"/>
        <v>0</v>
      </c>
      <c r="AC406">
        <f t="shared" si="66"/>
        <v>0</v>
      </c>
      <c r="AD406">
        <f t="shared" si="67"/>
        <v>0</v>
      </c>
      <c r="AE406">
        <f t="shared" si="68"/>
        <v>1</v>
      </c>
      <c r="AF406">
        <f t="shared" si="69"/>
        <v>0</v>
      </c>
    </row>
    <row r="407" spans="1:32" x14ac:dyDescent="0.3">
      <c r="A407">
        <v>30</v>
      </c>
      <c r="B407">
        <v>54</v>
      </c>
      <c r="C407">
        <v>165</v>
      </c>
      <c r="D407">
        <f t="shared" si="60"/>
        <v>19.834710743801654</v>
      </c>
      <c r="E407">
        <f t="shared" si="61"/>
        <v>1</v>
      </c>
      <c r="F407">
        <v>65</v>
      </c>
      <c r="G407">
        <f t="shared" si="62"/>
        <v>11</v>
      </c>
      <c r="H407">
        <v>0</v>
      </c>
      <c r="J407">
        <v>0</v>
      </c>
      <c r="K407">
        <v>1</v>
      </c>
      <c r="L407">
        <v>1</v>
      </c>
      <c r="M407">
        <v>39</v>
      </c>
      <c r="N407">
        <v>3</v>
      </c>
      <c r="O407">
        <f t="shared" si="63"/>
        <v>39.428571428571431</v>
      </c>
      <c r="P407">
        <v>0</v>
      </c>
      <c r="Q407">
        <v>0</v>
      </c>
      <c r="R407">
        <v>3</v>
      </c>
      <c r="S407" t="s">
        <v>34</v>
      </c>
      <c r="T407">
        <v>0</v>
      </c>
      <c r="U407">
        <v>0</v>
      </c>
      <c r="V407">
        <v>2810</v>
      </c>
      <c r="W407">
        <v>9</v>
      </c>
      <c r="X407">
        <v>1</v>
      </c>
      <c r="Y407">
        <v>0</v>
      </c>
      <c r="AA407">
        <f t="shared" si="64"/>
        <v>0</v>
      </c>
      <c r="AB407" t="str">
        <f t="shared" si="65"/>
        <v>0</v>
      </c>
      <c r="AC407">
        <f t="shared" si="66"/>
        <v>0</v>
      </c>
      <c r="AD407">
        <f t="shared" si="67"/>
        <v>0</v>
      </c>
      <c r="AE407">
        <f t="shared" si="68"/>
        <v>1</v>
      </c>
      <c r="AF407">
        <f t="shared" si="69"/>
        <v>0</v>
      </c>
    </row>
    <row r="408" spans="1:32" x14ac:dyDescent="0.3">
      <c r="A408">
        <v>36</v>
      </c>
      <c r="B408">
        <v>51</v>
      </c>
      <c r="C408">
        <v>156</v>
      </c>
      <c r="D408">
        <f t="shared" si="60"/>
        <v>20.956607495069033</v>
      </c>
      <c r="E408">
        <f t="shared" si="61"/>
        <v>1</v>
      </c>
      <c r="F408">
        <v>62</v>
      </c>
      <c r="G408">
        <f t="shared" si="62"/>
        <v>11</v>
      </c>
      <c r="H408">
        <v>0</v>
      </c>
      <c r="J408">
        <v>0</v>
      </c>
      <c r="K408">
        <v>0</v>
      </c>
      <c r="L408">
        <v>1</v>
      </c>
      <c r="M408">
        <v>39</v>
      </c>
      <c r="N408">
        <v>5</v>
      </c>
      <c r="O408">
        <f t="shared" si="63"/>
        <v>39.714285714285715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3050</v>
      </c>
      <c r="W408">
        <v>8</v>
      </c>
      <c r="X408">
        <v>0</v>
      </c>
      <c r="Y408">
        <v>0</v>
      </c>
      <c r="AA408">
        <f t="shared" si="64"/>
        <v>0</v>
      </c>
      <c r="AB408" t="str">
        <f t="shared" si="65"/>
        <v>0</v>
      </c>
      <c r="AC408">
        <f t="shared" si="66"/>
        <v>0</v>
      </c>
      <c r="AD408">
        <f t="shared" si="67"/>
        <v>0</v>
      </c>
      <c r="AE408">
        <f t="shared" si="68"/>
        <v>0</v>
      </c>
      <c r="AF408">
        <f t="shared" si="69"/>
        <v>0</v>
      </c>
    </row>
    <row r="409" spans="1:32" x14ac:dyDescent="0.3">
      <c r="A409">
        <v>32</v>
      </c>
      <c r="B409">
        <v>65</v>
      </c>
      <c r="C409">
        <v>170</v>
      </c>
      <c r="D409">
        <f t="shared" si="60"/>
        <v>22.491349480968861</v>
      </c>
      <c r="E409">
        <f t="shared" si="61"/>
        <v>1</v>
      </c>
      <c r="F409">
        <v>74</v>
      </c>
      <c r="G409">
        <f t="shared" si="62"/>
        <v>9</v>
      </c>
      <c r="H409">
        <v>0</v>
      </c>
      <c r="J409">
        <v>0</v>
      </c>
      <c r="K409">
        <v>0</v>
      </c>
      <c r="L409">
        <v>0</v>
      </c>
      <c r="M409">
        <v>38</v>
      </c>
      <c r="N409">
        <v>6</v>
      </c>
      <c r="O409">
        <f t="shared" si="63"/>
        <v>38.857142857142854</v>
      </c>
      <c r="P409">
        <v>0</v>
      </c>
      <c r="Q409">
        <v>0</v>
      </c>
      <c r="R409">
        <v>0</v>
      </c>
      <c r="T409">
        <v>0</v>
      </c>
      <c r="U409">
        <v>0</v>
      </c>
      <c r="V409">
        <v>3040</v>
      </c>
      <c r="W409">
        <v>9</v>
      </c>
      <c r="X409">
        <v>0</v>
      </c>
      <c r="Y409">
        <v>0</v>
      </c>
      <c r="AA409">
        <f t="shared" si="64"/>
        <v>0</v>
      </c>
      <c r="AB409" t="str">
        <f t="shared" si="65"/>
        <v>0</v>
      </c>
      <c r="AC409">
        <f t="shared" si="66"/>
        <v>0</v>
      </c>
      <c r="AD409">
        <f t="shared" si="67"/>
        <v>0</v>
      </c>
      <c r="AE409">
        <f t="shared" si="68"/>
        <v>0</v>
      </c>
      <c r="AF409">
        <f t="shared" si="69"/>
        <v>0</v>
      </c>
    </row>
    <row r="410" spans="1:32" x14ac:dyDescent="0.3">
      <c r="A410">
        <v>25</v>
      </c>
      <c r="B410">
        <v>49</v>
      </c>
      <c r="C410">
        <v>153</v>
      </c>
      <c r="D410">
        <f t="shared" si="60"/>
        <v>20.932120124738347</v>
      </c>
      <c r="E410">
        <f t="shared" si="61"/>
        <v>1</v>
      </c>
      <c r="F410">
        <v>68</v>
      </c>
      <c r="G410">
        <f t="shared" si="62"/>
        <v>19</v>
      </c>
      <c r="H410">
        <v>0</v>
      </c>
      <c r="J410">
        <v>0</v>
      </c>
      <c r="K410">
        <v>0</v>
      </c>
      <c r="L410">
        <v>0</v>
      </c>
      <c r="M410">
        <v>41</v>
      </c>
      <c r="N410">
        <v>3</v>
      </c>
      <c r="O410">
        <f t="shared" si="63"/>
        <v>41.428571428571431</v>
      </c>
      <c r="P410">
        <v>0</v>
      </c>
      <c r="Q410">
        <v>0</v>
      </c>
      <c r="R410">
        <v>3</v>
      </c>
      <c r="S410" t="s">
        <v>35</v>
      </c>
      <c r="T410">
        <v>0</v>
      </c>
      <c r="U410">
        <v>0</v>
      </c>
      <c r="V410">
        <v>3610</v>
      </c>
      <c r="W410">
        <v>10</v>
      </c>
      <c r="X410">
        <v>1</v>
      </c>
      <c r="Y410">
        <v>0</v>
      </c>
      <c r="AA410">
        <f t="shared" si="64"/>
        <v>1</v>
      </c>
      <c r="AB410" t="str">
        <f t="shared" si="65"/>
        <v>0</v>
      </c>
      <c r="AC410">
        <f t="shared" si="66"/>
        <v>0</v>
      </c>
      <c r="AD410">
        <f t="shared" si="67"/>
        <v>0</v>
      </c>
      <c r="AE410">
        <f t="shared" si="68"/>
        <v>1</v>
      </c>
      <c r="AF410">
        <f t="shared" si="69"/>
        <v>0</v>
      </c>
    </row>
    <row r="411" spans="1:32" x14ac:dyDescent="0.3">
      <c r="A411">
        <v>21</v>
      </c>
      <c r="B411">
        <v>48</v>
      </c>
      <c r="C411">
        <v>150</v>
      </c>
      <c r="D411">
        <f t="shared" si="60"/>
        <v>21.333333333333332</v>
      </c>
      <c r="E411">
        <f t="shared" si="61"/>
        <v>1</v>
      </c>
      <c r="F411">
        <v>57</v>
      </c>
      <c r="G411">
        <f t="shared" si="62"/>
        <v>9</v>
      </c>
      <c r="H411">
        <v>1</v>
      </c>
      <c r="I411" t="s">
        <v>78</v>
      </c>
      <c r="J411">
        <v>0</v>
      </c>
      <c r="K411">
        <v>0</v>
      </c>
      <c r="L411">
        <v>0</v>
      </c>
      <c r="M411">
        <v>39</v>
      </c>
      <c r="N411">
        <v>1</v>
      </c>
      <c r="O411">
        <f t="shared" si="63"/>
        <v>39.142857142857146</v>
      </c>
      <c r="P411">
        <v>0</v>
      </c>
      <c r="Q411">
        <v>0</v>
      </c>
      <c r="R411">
        <v>0</v>
      </c>
      <c r="T411">
        <v>0</v>
      </c>
      <c r="U411">
        <v>0</v>
      </c>
      <c r="V411">
        <v>3130</v>
      </c>
      <c r="W411">
        <v>9</v>
      </c>
      <c r="X411">
        <v>1</v>
      </c>
      <c r="Y411">
        <v>0</v>
      </c>
      <c r="AA411">
        <f t="shared" si="64"/>
        <v>0</v>
      </c>
      <c r="AB411" t="str">
        <f t="shared" si="65"/>
        <v>0</v>
      </c>
      <c r="AC411">
        <f t="shared" si="66"/>
        <v>0</v>
      </c>
      <c r="AD411">
        <f t="shared" si="67"/>
        <v>0</v>
      </c>
      <c r="AE411">
        <f t="shared" si="68"/>
        <v>0</v>
      </c>
      <c r="AF411">
        <f t="shared" si="69"/>
        <v>0</v>
      </c>
    </row>
    <row r="412" spans="1:32" x14ac:dyDescent="0.3">
      <c r="A412">
        <v>30</v>
      </c>
      <c r="B412">
        <v>50</v>
      </c>
      <c r="C412">
        <v>160</v>
      </c>
      <c r="D412">
        <f t="shared" si="60"/>
        <v>19.531249999999996</v>
      </c>
      <c r="E412">
        <f t="shared" si="61"/>
        <v>1</v>
      </c>
      <c r="F412">
        <v>69</v>
      </c>
      <c r="G412">
        <f t="shared" si="62"/>
        <v>19</v>
      </c>
      <c r="H412">
        <v>1</v>
      </c>
      <c r="I412" t="s">
        <v>44</v>
      </c>
      <c r="J412">
        <v>0</v>
      </c>
      <c r="K412">
        <v>0</v>
      </c>
      <c r="L412">
        <v>0</v>
      </c>
      <c r="M412">
        <v>39</v>
      </c>
      <c r="N412">
        <v>2</v>
      </c>
      <c r="O412">
        <f t="shared" si="63"/>
        <v>39.285714285714285</v>
      </c>
      <c r="P412">
        <v>0</v>
      </c>
      <c r="Q412">
        <v>0</v>
      </c>
      <c r="R412">
        <v>0</v>
      </c>
      <c r="T412">
        <v>0</v>
      </c>
      <c r="U412">
        <v>0</v>
      </c>
      <c r="V412">
        <v>3070</v>
      </c>
      <c r="W412">
        <v>9</v>
      </c>
      <c r="X412">
        <v>1</v>
      </c>
      <c r="Y412">
        <v>0</v>
      </c>
      <c r="AA412">
        <f t="shared" si="64"/>
        <v>1</v>
      </c>
      <c r="AB412" t="str">
        <f t="shared" si="65"/>
        <v>0</v>
      </c>
      <c r="AC412">
        <f t="shared" si="66"/>
        <v>0</v>
      </c>
      <c r="AD412">
        <f t="shared" si="67"/>
        <v>0</v>
      </c>
      <c r="AE412">
        <f t="shared" si="68"/>
        <v>0</v>
      </c>
      <c r="AF412">
        <f t="shared" si="69"/>
        <v>0</v>
      </c>
    </row>
    <row r="413" spans="1:32" x14ac:dyDescent="0.3">
      <c r="A413">
        <v>25</v>
      </c>
      <c r="B413">
        <v>59</v>
      </c>
      <c r="C413">
        <v>168</v>
      </c>
      <c r="D413">
        <f t="shared" si="60"/>
        <v>20.904195011337873</v>
      </c>
      <c r="E413">
        <f t="shared" si="61"/>
        <v>1</v>
      </c>
      <c r="F413">
        <v>71</v>
      </c>
      <c r="G413">
        <f t="shared" si="62"/>
        <v>12</v>
      </c>
      <c r="H413">
        <v>1</v>
      </c>
      <c r="I413" t="s">
        <v>52</v>
      </c>
      <c r="J413">
        <v>0</v>
      </c>
      <c r="K413">
        <v>0</v>
      </c>
      <c r="L413">
        <v>0</v>
      </c>
      <c r="M413">
        <v>40</v>
      </c>
      <c r="N413">
        <v>1</v>
      </c>
      <c r="O413">
        <f t="shared" si="63"/>
        <v>40.142857142857146</v>
      </c>
      <c r="P413">
        <v>0</v>
      </c>
      <c r="Q413">
        <v>0</v>
      </c>
      <c r="R413">
        <v>0</v>
      </c>
      <c r="T413">
        <v>0</v>
      </c>
      <c r="U413">
        <v>0</v>
      </c>
      <c r="V413">
        <v>3230</v>
      </c>
      <c r="W413">
        <v>9</v>
      </c>
      <c r="X413">
        <v>0</v>
      </c>
      <c r="Y413">
        <v>0</v>
      </c>
      <c r="AA413">
        <f t="shared" si="64"/>
        <v>0</v>
      </c>
      <c r="AB413" t="str">
        <f t="shared" si="65"/>
        <v>0</v>
      </c>
      <c r="AC413">
        <f t="shared" si="66"/>
        <v>0</v>
      </c>
      <c r="AD413">
        <f t="shared" si="67"/>
        <v>0</v>
      </c>
      <c r="AE413">
        <f t="shared" si="68"/>
        <v>0</v>
      </c>
      <c r="AF413">
        <f t="shared" si="69"/>
        <v>0</v>
      </c>
    </row>
    <row r="414" spans="1:32" x14ac:dyDescent="0.3">
      <c r="A414">
        <v>25</v>
      </c>
      <c r="B414">
        <v>40</v>
      </c>
      <c r="C414">
        <v>155</v>
      </c>
      <c r="D414">
        <f t="shared" si="60"/>
        <v>16.649323621227886</v>
      </c>
      <c r="E414">
        <f t="shared" si="61"/>
        <v>0</v>
      </c>
      <c r="F414">
        <v>52</v>
      </c>
      <c r="G414">
        <f t="shared" si="62"/>
        <v>12</v>
      </c>
      <c r="H414">
        <v>0</v>
      </c>
      <c r="J414">
        <v>0</v>
      </c>
      <c r="K414">
        <v>1</v>
      </c>
      <c r="L414">
        <v>2</v>
      </c>
      <c r="M414">
        <v>38</v>
      </c>
      <c r="N414">
        <v>6</v>
      </c>
      <c r="O414">
        <f t="shared" si="63"/>
        <v>38.857142857142854</v>
      </c>
      <c r="P414">
        <v>0</v>
      </c>
      <c r="Q414">
        <v>0</v>
      </c>
      <c r="R414">
        <v>3</v>
      </c>
      <c r="S414" t="s">
        <v>34</v>
      </c>
      <c r="T414">
        <v>0</v>
      </c>
      <c r="U414">
        <v>0</v>
      </c>
      <c r="V414">
        <v>2730</v>
      </c>
      <c r="W414">
        <v>9</v>
      </c>
      <c r="X414">
        <v>1</v>
      </c>
      <c r="Y414">
        <v>0</v>
      </c>
      <c r="AA414">
        <f t="shared" si="64"/>
        <v>0</v>
      </c>
      <c r="AB414" t="str">
        <f t="shared" si="65"/>
        <v>0</v>
      </c>
      <c r="AC414">
        <f t="shared" si="66"/>
        <v>0</v>
      </c>
      <c r="AD414">
        <f t="shared" si="67"/>
        <v>0</v>
      </c>
      <c r="AE414">
        <f t="shared" si="68"/>
        <v>1</v>
      </c>
      <c r="AF414">
        <f t="shared" si="69"/>
        <v>0</v>
      </c>
    </row>
    <row r="415" spans="1:32" x14ac:dyDescent="0.3">
      <c r="A415">
        <v>27</v>
      </c>
      <c r="B415">
        <v>57</v>
      </c>
      <c r="C415">
        <v>152</v>
      </c>
      <c r="D415">
        <f t="shared" si="60"/>
        <v>24.671052631578949</v>
      </c>
      <c r="E415">
        <f t="shared" si="61"/>
        <v>2</v>
      </c>
      <c r="F415">
        <v>80</v>
      </c>
      <c r="G415">
        <f t="shared" si="62"/>
        <v>23</v>
      </c>
      <c r="H415">
        <v>0</v>
      </c>
      <c r="J415">
        <v>0</v>
      </c>
      <c r="K415">
        <v>0</v>
      </c>
      <c r="L415">
        <v>0</v>
      </c>
      <c r="M415">
        <v>40</v>
      </c>
      <c r="N415">
        <v>3</v>
      </c>
      <c r="O415">
        <f t="shared" si="63"/>
        <v>40.428571428571431</v>
      </c>
      <c r="P415">
        <v>1</v>
      </c>
      <c r="Q415">
        <v>0</v>
      </c>
      <c r="R415">
        <v>3</v>
      </c>
      <c r="S415" t="s">
        <v>35</v>
      </c>
      <c r="T415">
        <v>0</v>
      </c>
      <c r="U415">
        <v>0</v>
      </c>
      <c r="V415">
        <v>3580</v>
      </c>
      <c r="W415">
        <v>9</v>
      </c>
      <c r="X415">
        <v>1</v>
      </c>
      <c r="Y415">
        <v>0</v>
      </c>
      <c r="AA415">
        <f t="shared" si="64"/>
        <v>1</v>
      </c>
      <c r="AB415" t="str">
        <f t="shared" si="65"/>
        <v>0</v>
      </c>
      <c r="AC415">
        <f t="shared" si="66"/>
        <v>0</v>
      </c>
      <c r="AD415">
        <f t="shared" si="67"/>
        <v>0</v>
      </c>
      <c r="AE415">
        <f t="shared" si="68"/>
        <v>1</v>
      </c>
      <c r="AF415">
        <f t="shared" si="69"/>
        <v>0</v>
      </c>
    </row>
    <row r="416" spans="1:32" x14ac:dyDescent="0.3">
      <c r="A416">
        <v>39</v>
      </c>
      <c r="B416">
        <v>53</v>
      </c>
      <c r="C416">
        <v>162</v>
      </c>
      <c r="D416">
        <f t="shared" si="60"/>
        <v>20.195092211553114</v>
      </c>
      <c r="E416">
        <f t="shared" si="61"/>
        <v>1</v>
      </c>
      <c r="F416">
        <v>66</v>
      </c>
      <c r="G416">
        <f t="shared" si="62"/>
        <v>13</v>
      </c>
      <c r="H416">
        <v>0</v>
      </c>
      <c r="J416">
        <v>0</v>
      </c>
      <c r="K416">
        <v>1</v>
      </c>
      <c r="L416">
        <v>2</v>
      </c>
      <c r="M416">
        <v>38</v>
      </c>
      <c r="N416">
        <v>4</v>
      </c>
      <c r="O416">
        <f t="shared" si="63"/>
        <v>38.571428571428569</v>
      </c>
      <c r="P416">
        <v>1</v>
      </c>
      <c r="Q416">
        <v>0</v>
      </c>
      <c r="R416">
        <v>3</v>
      </c>
      <c r="S416" t="s">
        <v>34</v>
      </c>
      <c r="T416">
        <v>0</v>
      </c>
      <c r="U416">
        <v>0</v>
      </c>
      <c r="V416">
        <v>2600</v>
      </c>
      <c r="W416">
        <v>9</v>
      </c>
      <c r="X416">
        <v>1</v>
      </c>
      <c r="Y416">
        <v>0</v>
      </c>
      <c r="AA416">
        <f t="shared" si="64"/>
        <v>0</v>
      </c>
      <c r="AB416" t="str">
        <f t="shared" si="65"/>
        <v>0</v>
      </c>
      <c r="AC416">
        <f t="shared" si="66"/>
        <v>0</v>
      </c>
      <c r="AD416">
        <f t="shared" si="67"/>
        <v>0</v>
      </c>
      <c r="AE416">
        <f t="shared" si="68"/>
        <v>1</v>
      </c>
      <c r="AF416">
        <f t="shared" si="69"/>
        <v>0</v>
      </c>
    </row>
    <row r="417" spans="1:32" x14ac:dyDescent="0.3">
      <c r="A417">
        <v>34</v>
      </c>
      <c r="B417">
        <v>64</v>
      </c>
      <c r="C417">
        <v>160</v>
      </c>
      <c r="D417">
        <f t="shared" si="60"/>
        <v>24.999999999999996</v>
      </c>
      <c r="E417">
        <f t="shared" si="61"/>
        <v>3</v>
      </c>
      <c r="F417">
        <v>71</v>
      </c>
      <c r="G417">
        <f t="shared" si="62"/>
        <v>7</v>
      </c>
      <c r="H417">
        <v>1</v>
      </c>
      <c r="I417" t="s">
        <v>32</v>
      </c>
      <c r="J417">
        <v>0</v>
      </c>
      <c r="K417">
        <v>0</v>
      </c>
      <c r="L417">
        <v>0</v>
      </c>
      <c r="M417">
        <v>40</v>
      </c>
      <c r="N417">
        <v>1</v>
      </c>
      <c r="O417">
        <f t="shared" si="63"/>
        <v>40.142857142857146</v>
      </c>
      <c r="P417">
        <v>1</v>
      </c>
      <c r="Q417">
        <v>0</v>
      </c>
      <c r="R417">
        <v>0</v>
      </c>
      <c r="T417">
        <v>0</v>
      </c>
      <c r="U417">
        <v>0</v>
      </c>
      <c r="V417">
        <v>2890</v>
      </c>
      <c r="W417">
        <v>9</v>
      </c>
      <c r="X417">
        <v>1</v>
      </c>
      <c r="Y417">
        <v>0</v>
      </c>
      <c r="AA417">
        <f t="shared" si="64"/>
        <v>0</v>
      </c>
      <c r="AB417" t="str">
        <f t="shared" si="65"/>
        <v>0</v>
      </c>
      <c r="AC417">
        <f t="shared" si="66"/>
        <v>0</v>
      </c>
      <c r="AD417">
        <f t="shared" si="67"/>
        <v>0</v>
      </c>
      <c r="AE417">
        <f t="shared" si="68"/>
        <v>0</v>
      </c>
      <c r="AF417">
        <f t="shared" si="69"/>
        <v>0</v>
      </c>
    </row>
    <row r="418" spans="1:32" x14ac:dyDescent="0.3">
      <c r="A418">
        <v>35</v>
      </c>
      <c r="B418">
        <v>49</v>
      </c>
      <c r="C418">
        <v>155</v>
      </c>
      <c r="D418">
        <f t="shared" si="60"/>
        <v>20.39542143600416</v>
      </c>
      <c r="E418">
        <f t="shared" si="61"/>
        <v>1</v>
      </c>
      <c r="F418">
        <v>63</v>
      </c>
      <c r="G418">
        <f t="shared" si="62"/>
        <v>14</v>
      </c>
      <c r="H418">
        <v>0</v>
      </c>
      <c r="J418">
        <v>0</v>
      </c>
      <c r="K418">
        <v>0</v>
      </c>
      <c r="L418">
        <v>1</v>
      </c>
      <c r="M418">
        <v>38</v>
      </c>
      <c r="N418">
        <v>2</v>
      </c>
      <c r="O418">
        <f t="shared" si="63"/>
        <v>38.285714285714285</v>
      </c>
      <c r="P418">
        <v>0</v>
      </c>
      <c r="Q418">
        <v>1</v>
      </c>
      <c r="R418">
        <v>3</v>
      </c>
      <c r="S418" t="s">
        <v>42</v>
      </c>
      <c r="T418">
        <v>0</v>
      </c>
      <c r="U418">
        <v>0</v>
      </c>
      <c r="V418">
        <v>3170</v>
      </c>
      <c r="W418">
        <v>9</v>
      </c>
      <c r="X418">
        <v>1</v>
      </c>
      <c r="Y418">
        <v>0</v>
      </c>
      <c r="AA418">
        <f t="shared" si="64"/>
        <v>0</v>
      </c>
      <c r="AB418" t="str">
        <f t="shared" si="65"/>
        <v>0</v>
      </c>
      <c r="AC418">
        <f t="shared" si="66"/>
        <v>0</v>
      </c>
      <c r="AD418">
        <f t="shared" si="67"/>
        <v>0</v>
      </c>
      <c r="AE418">
        <f t="shared" si="68"/>
        <v>1</v>
      </c>
      <c r="AF418">
        <f t="shared" si="69"/>
        <v>0</v>
      </c>
    </row>
    <row r="419" spans="1:32" x14ac:dyDescent="0.3">
      <c r="A419">
        <v>34</v>
      </c>
      <c r="B419">
        <v>52</v>
      </c>
      <c r="C419">
        <v>150</v>
      </c>
      <c r="D419">
        <f t="shared" si="60"/>
        <v>23.111111111111111</v>
      </c>
      <c r="E419">
        <f t="shared" si="61"/>
        <v>2</v>
      </c>
      <c r="F419">
        <v>64</v>
      </c>
      <c r="G419">
        <f t="shared" si="62"/>
        <v>12</v>
      </c>
      <c r="H419">
        <v>0</v>
      </c>
      <c r="J419">
        <v>0</v>
      </c>
      <c r="K419">
        <v>1</v>
      </c>
      <c r="L419">
        <v>1</v>
      </c>
      <c r="M419">
        <v>38</v>
      </c>
      <c r="N419">
        <v>2</v>
      </c>
      <c r="O419">
        <f t="shared" si="63"/>
        <v>38.285714285714285</v>
      </c>
      <c r="P419">
        <v>1</v>
      </c>
      <c r="Q419">
        <v>0</v>
      </c>
      <c r="R419">
        <v>3</v>
      </c>
      <c r="S419" t="s">
        <v>34</v>
      </c>
      <c r="T419">
        <v>0</v>
      </c>
      <c r="U419">
        <v>0</v>
      </c>
      <c r="V419">
        <v>3160</v>
      </c>
      <c r="W419">
        <v>9</v>
      </c>
      <c r="X419">
        <v>1</v>
      </c>
      <c r="Y419">
        <v>0</v>
      </c>
      <c r="AA419">
        <f t="shared" si="64"/>
        <v>1</v>
      </c>
      <c r="AB419" t="str">
        <f t="shared" si="65"/>
        <v>0</v>
      </c>
      <c r="AC419">
        <f t="shared" si="66"/>
        <v>0</v>
      </c>
      <c r="AD419">
        <f t="shared" si="67"/>
        <v>0</v>
      </c>
      <c r="AE419">
        <f t="shared" si="68"/>
        <v>1</v>
      </c>
      <c r="AF419">
        <f t="shared" si="69"/>
        <v>0</v>
      </c>
    </row>
    <row r="420" spans="1:32" x14ac:dyDescent="0.3">
      <c r="A420">
        <v>18</v>
      </c>
      <c r="B420">
        <v>52</v>
      </c>
      <c r="C420">
        <v>155</v>
      </c>
      <c r="D420">
        <f t="shared" si="60"/>
        <v>21.644120707596251</v>
      </c>
      <c r="E420">
        <f t="shared" si="61"/>
        <v>1</v>
      </c>
      <c r="F420">
        <v>60</v>
      </c>
      <c r="G420">
        <f t="shared" si="62"/>
        <v>8</v>
      </c>
      <c r="H420">
        <v>0</v>
      </c>
      <c r="J420">
        <v>0</v>
      </c>
      <c r="K420">
        <v>0</v>
      </c>
      <c r="L420">
        <v>1</v>
      </c>
      <c r="M420">
        <v>38</v>
      </c>
      <c r="N420">
        <v>1</v>
      </c>
      <c r="O420">
        <f t="shared" si="63"/>
        <v>38.142857142857146</v>
      </c>
      <c r="P420">
        <v>0</v>
      </c>
      <c r="Q420">
        <v>0</v>
      </c>
      <c r="R420">
        <v>0</v>
      </c>
      <c r="T420">
        <v>0</v>
      </c>
      <c r="U420">
        <v>0</v>
      </c>
      <c r="V420">
        <v>2540</v>
      </c>
      <c r="W420">
        <v>9</v>
      </c>
      <c r="X420">
        <v>1</v>
      </c>
      <c r="Y420">
        <v>0</v>
      </c>
      <c r="AA420">
        <f t="shared" si="64"/>
        <v>0</v>
      </c>
      <c r="AB420" t="str">
        <f t="shared" si="65"/>
        <v>0</v>
      </c>
      <c r="AC420">
        <f t="shared" si="66"/>
        <v>0</v>
      </c>
      <c r="AD420">
        <f t="shared" si="67"/>
        <v>0</v>
      </c>
      <c r="AE420">
        <f t="shared" si="68"/>
        <v>0</v>
      </c>
      <c r="AF420">
        <f t="shared" si="69"/>
        <v>0</v>
      </c>
    </row>
    <row r="421" spans="1:32" x14ac:dyDescent="0.3">
      <c r="A421">
        <v>22</v>
      </c>
      <c r="B421">
        <v>58</v>
      </c>
      <c r="C421">
        <v>150</v>
      </c>
      <c r="D421">
        <f t="shared" si="60"/>
        <v>25.777777777777779</v>
      </c>
      <c r="E421">
        <f t="shared" si="61"/>
        <v>3</v>
      </c>
      <c r="F421">
        <v>71</v>
      </c>
      <c r="G421">
        <f t="shared" si="62"/>
        <v>13</v>
      </c>
      <c r="H421">
        <v>1</v>
      </c>
      <c r="I421" t="s">
        <v>32</v>
      </c>
      <c r="J421">
        <v>0</v>
      </c>
      <c r="K421">
        <v>0</v>
      </c>
      <c r="L421">
        <v>0</v>
      </c>
      <c r="M421">
        <v>39</v>
      </c>
      <c r="N421">
        <v>2</v>
      </c>
      <c r="O421">
        <f t="shared" si="63"/>
        <v>39.285714285714285</v>
      </c>
      <c r="P421">
        <v>0</v>
      </c>
      <c r="Q421">
        <v>0</v>
      </c>
      <c r="R421">
        <v>3</v>
      </c>
      <c r="S421" t="s">
        <v>35</v>
      </c>
      <c r="T421">
        <v>0</v>
      </c>
      <c r="U421">
        <v>0</v>
      </c>
      <c r="V421">
        <v>3025</v>
      </c>
      <c r="W421">
        <v>9</v>
      </c>
      <c r="X421">
        <v>1</v>
      </c>
      <c r="Y421">
        <v>0</v>
      </c>
      <c r="AA421">
        <f t="shared" si="64"/>
        <v>1</v>
      </c>
      <c r="AB421" t="str">
        <f t="shared" si="65"/>
        <v>0</v>
      </c>
      <c r="AC421">
        <f t="shared" si="66"/>
        <v>0</v>
      </c>
      <c r="AD421">
        <f t="shared" si="67"/>
        <v>0</v>
      </c>
      <c r="AE421">
        <f t="shared" si="68"/>
        <v>1</v>
      </c>
      <c r="AF421">
        <f t="shared" si="69"/>
        <v>0</v>
      </c>
    </row>
    <row r="422" spans="1:32" x14ac:dyDescent="0.3">
      <c r="A422">
        <v>23</v>
      </c>
      <c r="B422">
        <v>52</v>
      </c>
      <c r="C422">
        <v>160</v>
      </c>
      <c r="D422">
        <f t="shared" si="60"/>
        <v>20.312499999999996</v>
      </c>
      <c r="E422">
        <f t="shared" si="61"/>
        <v>1</v>
      </c>
      <c r="F422">
        <v>63</v>
      </c>
      <c r="G422">
        <f t="shared" si="62"/>
        <v>11</v>
      </c>
      <c r="H422">
        <v>0</v>
      </c>
      <c r="J422">
        <v>0</v>
      </c>
      <c r="K422">
        <v>0</v>
      </c>
      <c r="L422">
        <v>1</v>
      </c>
      <c r="M422">
        <v>41</v>
      </c>
      <c r="N422">
        <v>1</v>
      </c>
      <c r="O422">
        <f t="shared" si="63"/>
        <v>41.142857142857146</v>
      </c>
      <c r="P422">
        <v>0</v>
      </c>
      <c r="Q422">
        <v>0</v>
      </c>
      <c r="R422">
        <v>3</v>
      </c>
      <c r="S422" t="s">
        <v>35</v>
      </c>
      <c r="T422">
        <v>0</v>
      </c>
      <c r="U422">
        <v>0</v>
      </c>
      <c r="V422">
        <v>2805</v>
      </c>
      <c r="W422">
        <v>9</v>
      </c>
      <c r="X422">
        <v>1</v>
      </c>
      <c r="Y422">
        <v>0</v>
      </c>
      <c r="AA422">
        <f t="shared" si="64"/>
        <v>0</v>
      </c>
      <c r="AB422" t="str">
        <f t="shared" si="65"/>
        <v>0</v>
      </c>
      <c r="AC422">
        <f t="shared" si="66"/>
        <v>0</v>
      </c>
      <c r="AD422">
        <f t="shared" si="67"/>
        <v>0</v>
      </c>
      <c r="AE422">
        <f t="shared" si="68"/>
        <v>1</v>
      </c>
      <c r="AF422">
        <f t="shared" si="69"/>
        <v>0</v>
      </c>
    </row>
    <row r="423" spans="1:32" x14ac:dyDescent="0.3">
      <c r="A423">
        <v>32</v>
      </c>
      <c r="B423">
        <v>51</v>
      </c>
      <c r="C423">
        <v>155</v>
      </c>
      <c r="D423">
        <f t="shared" si="60"/>
        <v>21.227887617065555</v>
      </c>
      <c r="E423">
        <f t="shared" si="61"/>
        <v>1</v>
      </c>
      <c r="F423">
        <v>65</v>
      </c>
      <c r="G423">
        <f t="shared" si="62"/>
        <v>14</v>
      </c>
      <c r="H423">
        <v>0</v>
      </c>
      <c r="J423">
        <v>0</v>
      </c>
      <c r="K423">
        <v>0</v>
      </c>
      <c r="L423">
        <v>0</v>
      </c>
      <c r="M423">
        <v>39</v>
      </c>
      <c r="N423">
        <v>6</v>
      </c>
      <c r="O423">
        <f t="shared" si="63"/>
        <v>39.857142857142854</v>
      </c>
      <c r="P423">
        <v>0</v>
      </c>
      <c r="Q423">
        <v>0</v>
      </c>
      <c r="R423">
        <v>3</v>
      </c>
      <c r="S423" t="s">
        <v>43</v>
      </c>
      <c r="T423">
        <v>0</v>
      </c>
      <c r="U423">
        <v>0</v>
      </c>
      <c r="V423">
        <v>2810</v>
      </c>
      <c r="W423">
        <v>9</v>
      </c>
      <c r="X423">
        <v>0</v>
      </c>
      <c r="Y423">
        <v>1</v>
      </c>
      <c r="AA423">
        <f t="shared" si="64"/>
        <v>0</v>
      </c>
      <c r="AB423" t="str">
        <f t="shared" si="65"/>
        <v>0</v>
      </c>
      <c r="AC423">
        <f t="shared" si="66"/>
        <v>0</v>
      </c>
      <c r="AD423">
        <f t="shared" si="67"/>
        <v>0</v>
      </c>
      <c r="AE423">
        <f t="shared" si="68"/>
        <v>1</v>
      </c>
      <c r="AF423">
        <f t="shared" si="69"/>
        <v>0</v>
      </c>
    </row>
    <row r="424" spans="1:32" x14ac:dyDescent="0.3">
      <c r="A424">
        <v>35</v>
      </c>
      <c r="B424">
        <v>56</v>
      </c>
      <c r="C424">
        <v>153</v>
      </c>
      <c r="D424">
        <f t="shared" si="60"/>
        <v>23.92242299970097</v>
      </c>
      <c r="E424">
        <f t="shared" si="61"/>
        <v>2</v>
      </c>
      <c r="F424">
        <v>63</v>
      </c>
      <c r="G424">
        <f t="shared" si="62"/>
        <v>7</v>
      </c>
      <c r="H424">
        <v>0</v>
      </c>
      <c r="J424">
        <v>0</v>
      </c>
      <c r="K424">
        <v>0</v>
      </c>
      <c r="L424">
        <v>1</v>
      </c>
      <c r="M424">
        <v>40</v>
      </c>
      <c r="N424">
        <v>3</v>
      </c>
      <c r="O424">
        <f t="shared" si="63"/>
        <v>40.428571428571431</v>
      </c>
      <c r="P424">
        <v>1</v>
      </c>
      <c r="Q424">
        <v>0</v>
      </c>
      <c r="R424">
        <v>0</v>
      </c>
      <c r="T424">
        <v>0</v>
      </c>
      <c r="U424">
        <v>0</v>
      </c>
      <c r="V424">
        <v>2840</v>
      </c>
      <c r="W424">
        <v>9</v>
      </c>
      <c r="X424">
        <v>1</v>
      </c>
      <c r="Y424">
        <v>0</v>
      </c>
      <c r="AA424">
        <f t="shared" si="64"/>
        <v>0</v>
      </c>
      <c r="AB424" t="str">
        <f t="shared" si="65"/>
        <v>0</v>
      </c>
      <c r="AC424">
        <f t="shared" si="66"/>
        <v>0</v>
      </c>
      <c r="AD424">
        <f t="shared" si="67"/>
        <v>0</v>
      </c>
      <c r="AE424">
        <f t="shared" si="68"/>
        <v>0</v>
      </c>
      <c r="AF424">
        <f t="shared" si="69"/>
        <v>0</v>
      </c>
    </row>
    <row r="425" spans="1:32" x14ac:dyDescent="0.3">
      <c r="A425">
        <v>23</v>
      </c>
      <c r="B425">
        <v>51</v>
      </c>
      <c r="C425">
        <v>154</v>
      </c>
      <c r="D425">
        <f t="shared" si="60"/>
        <v>21.504469556417607</v>
      </c>
      <c r="E425">
        <f t="shared" si="61"/>
        <v>1</v>
      </c>
      <c r="F425">
        <v>74</v>
      </c>
      <c r="G425">
        <f t="shared" si="62"/>
        <v>23</v>
      </c>
      <c r="H425">
        <v>0</v>
      </c>
      <c r="J425">
        <v>0</v>
      </c>
      <c r="K425">
        <v>0</v>
      </c>
      <c r="L425">
        <v>0</v>
      </c>
      <c r="M425">
        <v>40</v>
      </c>
      <c r="N425">
        <v>0</v>
      </c>
      <c r="O425">
        <f t="shared" si="63"/>
        <v>40</v>
      </c>
      <c r="P425">
        <v>0</v>
      </c>
      <c r="Q425">
        <v>0</v>
      </c>
      <c r="R425">
        <v>0</v>
      </c>
      <c r="T425">
        <v>0</v>
      </c>
      <c r="U425">
        <v>0</v>
      </c>
      <c r="V425">
        <v>3300</v>
      </c>
      <c r="W425">
        <v>9</v>
      </c>
      <c r="X425">
        <v>1</v>
      </c>
      <c r="Y425">
        <v>0</v>
      </c>
      <c r="AA425">
        <f t="shared" si="64"/>
        <v>1</v>
      </c>
      <c r="AB425" t="str">
        <f t="shared" si="65"/>
        <v>0</v>
      </c>
      <c r="AC425">
        <f t="shared" si="66"/>
        <v>0</v>
      </c>
      <c r="AD425">
        <f t="shared" si="67"/>
        <v>0</v>
      </c>
      <c r="AE425">
        <f t="shared" si="68"/>
        <v>0</v>
      </c>
      <c r="AF425">
        <f t="shared" si="69"/>
        <v>0</v>
      </c>
    </row>
    <row r="426" spans="1:32" x14ac:dyDescent="0.3">
      <c r="A426">
        <v>33</v>
      </c>
      <c r="B426">
        <v>68</v>
      </c>
      <c r="C426">
        <v>158</v>
      </c>
      <c r="D426">
        <f t="shared" si="60"/>
        <v>27.239224483255885</v>
      </c>
      <c r="E426">
        <f t="shared" si="61"/>
        <v>3</v>
      </c>
      <c r="F426">
        <v>80</v>
      </c>
      <c r="G426">
        <f t="shared" si="62"/>
        <v>12</v>
      </c>
      <c r="H426">
        <v>1</v>
      </c>
      <c r="I426" t="s">
        <v>32</v>
      </c>
      <c r="J426">
        <v>0</v>
      </c>
      <c r="K426">
        <v>0</v>
      </c>
      <c r="L426">
        <v>1</v>
      </c>
      <c r="M426">
        <v>38</v>
      </c>
      <c r="N426">
        <v>1</v>
      </c>
      <c r="O426">
        <f t="shared" si="63"/>
        <v>38.142857142857146</v>
      </c>
      <c r="P426">
        <v>0</v>
      </c>
      <c r="Q426">
        <v>0</v>
      </c>
      <c r="R426">
        <v>0</v>
      </c>
      <c r="T426">
        <v>0</v>
      </c>
      <c r="U426">
        <v>0</v>
      </c>
      <c r="V426">
        <v>3240</v>
      </c>
      <c r="W426">
        <v>9</v>
      </c>
      <c r="X426">
        <v>1</v>
      </c>
      <c r="Y426">
        <v>0</v>
      </c>
      <c r="AA426">
        <f t="shared" si="64"/>
        <v>1</v>
      </c>
      <c r="AB426" t="str">
        <f t="shared" si="65"/>
        <v>0</v>
      </c>
      <c r="AC426">
        <f t="shared" si="66"/>
        <v>0</v>
      </c>
      <c r="AD426">
        <f t="shared" si="67"/>
        <v>0</v>
      </c>
      <c r="AE426">
        <f t="shared" si="68"/>
        <v>0</v>
      </c>
      <c r="AF426">
        <f t="shared" si="69"/>
        <v>0</v>
      </c>
    </row>
    <row r="427" spans="1:32" x14ac:dyDescent="0.3">
      <c r="A427">
        <v>33</v>
      </c>
      <c r="B427">
        <v>38</v>
      </c>
      <c r="C427">
        <v>152</v>
      </c>
      <c r="D427">
        <f t="shared" si="60"/>
        <v>16.44736842105263</v>
      </c>
      <c r="E427">
        <f t="shared" si="61"/>
        <v>0</v>
      </c>
      <c r="F427">
        <v>47</v>
      </c>
      <c r="G427">
        <f t="shared" si="62"/>
        <v>9</v>
      </c>
      <c r="H427">
        <v>0</v>
      </c>
      <c r="J427">
        <v>0</v>
      </c>
      <c r="K427">
        <v>0</v>
      </c>
      <c r="L427">
        <v>1</v>
      </c>
      <c r="M427">
        <v>39</v>
      </c>
      <c r="N427">
        <v>2</v>
      </c>
      <c r="O427">
        <f t="shared" si="63"/>
        <v>39.285714285714285</v>
      </c>
      <c r="P427">
        <v>0</v>
      </c>
      <c r="Q427">
        <v>1</v>
      </c>
      <c r="R427">
        <v>0</v>
      </c>
      <c r="T427">
        <v>0</v>
      </c>
      <c r="U427">
        <v>0</v>
      </c>
      <c r="V427">
        <v>2530</v>
      </c>
      <c r="W427">
        <v>9</v>
      </c>
      <c r="X427">
        <v>1</v>
      </c>
      <c r="Y427">
        <v>0</v>
      </c>
      <c r="AA427">
        <f t="shared" si="64"/>
        <v>0</v>
      </c>
      <c r="AB427" t="str">
        <f t="shared" si="65"/>
        <v>1</v>
      </c>
      <c r="AC427">
        <f t="shared" si="66"/>
        <v>0</v>
      </c>
      <c r="AD427">
        <f t="shared" si="67"/>
        <v>0</v>
      </c>
      <c r="AE427">
        <f t="shared" si="68"/>
        <v>0</v>
      </c>
      <c r="AF427">
        <f t="shared" si="69"/>
        <v>0</v>
      </c>
    </row>
    <row r="428" spans="1:32" x14ac:dyDescent="0.3">
      <c r="A428">
        <v>40</v>
      </c>
      <c r="B428">
        <v>52</v>
      </c>
      <c r="C428">
        <v>162</v>
      </c>
      <c r="D428">
        <f t="shared" si="60"/>
        <v>19.814052735863431</v>
      </c>
      <c r="E428">
        <f t="shared" si="61"/>
        <v>1</v>
      </c>
      <c r="F428">
        <v>73</v>
      </c>
      <c r="G428">
        <f t="shared" si="62"/>
        <v>21</v>
      </c>
      <c r="H428">
        <v>0</v>
      </c>
      <c r="J428">
        <v>0</v>
      </c>
      <c r="K428">
        <v>0</v>
      </c>
      <c r="L428">
        <v>1</v>
      </c>
      <c r="M428">
        <v>37</v>
      </c>
      <c r="N428">
        <v>1</v>
      </c>
      <c r="O428">
        <f t="shared" si="63"/>
        <v>37.142857142857146</v>
      </c>
      <c r="P428">
        <v>0</v>
      </c>
      <c r="Q428">
        <v>0</v>
      </c>
      <c r="R428">
        <v>0</v>
      </c>
      <c r="T428">
        <v>1</v>
      </c>
      <c r="U428">
        <v>0</v>
      </c>
      <c r="V428">
        <v>2050</v>
      </c>
      <c r="W428">
        <v>9</v>
      </c>
      <c r="X428">
        <v>1</v>
      </c>
      <c r="Y428">
        <v>0</v>
      </c>
      <c r="AA428">
        <f t="shared" si="64"/>
        <v>1</v>
      </c>
      <c r="AB428" t="str">
        <f t="shared" si="65"/>
        <v>1</v>
      </c>
      <c r="AC428">
        <f t="shared" si="66"/>
        <v>0</v>
      </c>
      <c r="AD428">
        <f t="shared" si="67"/>
        <v>0</v>
      </c>
      <c r="AE428">
        <f t="shared" si="68"/>
        <v>0</v>
      </c>
      <c r="AF428">
        <f t="shared" si="69"/>
        <v>0</v>
      </c>
    </row>
    <row r="429" spans="1:32" x14ac:dyDescent="0.3">
      <c r="A429">
        <v>35</v>
      </c>
      <c r="B429">
        <v>64</v>
      </c>
      <c r="C429">
        <v>158</v>
      </c>
      <c r="D429">
        <f t="shared" si="60"/>
        <v>25.63691716071142</v>
      </c>
      <c r="E429">
        <f t="shared" si="61"/>
        <v>3</v>
      </c>
      <c r="F429">
        <v>74</v>
      </c>
      <c r="G429">
        <f t="shared" si="62"/>
        <v>10</v>
      </c>
      <c r="H429">
        <v>1</v>
      </c>
      <c r="I429" t="s">
        <v>32</v>
      </c>
      <c r="J429">
        <v>0</v>
      </c>
      <c r="K429">
        <v>0</v>
      </c>
      <c r="L429">
        <v>2</v>
      </c>
      <c r="M429">
        <v>39</v>
      </c>
      <c r="N429">
        <v>4</v>
      </c>
      <c r="O429">
        <f t="shared" si="63"/>
        <v>39.571428571428569</v>
      </c>
      <c r="P429">
        <v>0</v>
      </c>
      <c r="Q429">
        <v>0</v>
      </c>
      <c r="R429">
        <v>0</v>
      </c>
      <c r="T429">
        <v>2</v>
      </c>
      <c r="U429">
        <v>0</v>
      </c>
      <c r="V429">
        <v>3320</v>
      </c>
      <c r="W429">
        <v>8</v>
      </c>
      <c r="X429">
        <v>0</v>
      </c>
      <c r="Y429">
        <v>0</v>
      </c>
      <c r="AA429">
        <f t="shared" si="64"/>
        <v>1</v>
      </c>
      <c r="AB429" t="str">
        <f t="shared" si="65"/>
        <v>0</v>
      </c>
      <c r="AC429">
        <f t="shared" si="66"/>
        <v>0</v>
      </c>
      <c r="AD429">
        <f t="shared" si="67"/>
        <v>0</v>
      </c>
      <c r="AE429">
        <f t="shared" si="68"/>
        <v>0</v>
      </c>
      <c r="AF429">
        <f t="shared" si="69"/>
        <v>0</v>
      </c>
    </row>
    <row r="430" spans="1:32" x14ac:dyDescent="0.3">
      <c r="A430">
        <v>38</v>
      </c>
      <c r="B430">
        <v>55</v>
      </c>
      <c r="C430">
        <v>153</v>
      </c>
      <c r="D430">
        <f t="shared" si="60"/>
        <v>23.495236874706311</v>
      </c>
      <c r="E430">
        <f t="shared" si="61"/>
        <v>2</v>
      </c>
      <c r="F430">
        <v>75</v>
      </c>
      <c r="G430">
        <f t="shared" si="62"/>
        <v>20</v>
      </c>
      <c r="H430">
        <v>0</v>
      </c>
      <c r="J430">
        <v>0</v>
      </c>
      <c r="K430">
        <v>0</v>
      </c>
      <c r="L430">
        <v>1</v>
      </c>
      <c r="M430">
        <v>39</v>
      </c>
      <c r="N430">
        <v>3</v>
      </c>
      <c r="O430">
        <f t="shared" si="63"/>
        <v>39.428571428571431</v>
      </c>
      <c r="P430">
        <v>0</v>
      </c>
      <c r="Q430">
        <v>0</v>
      </c>
      <c r="R430">
        <v>0</v>
      </c>
      <c r="T430">
        <v>0</v>
      </c>
      <c r="U430">
        <v>0</v>
      </c>
      <c r="V430">
        <v>2610</v>
      </c>
      <c r="W430">
        <v>9</v>
      </c>
      <c r="X430">
        <v>1</v>
      </c>
      <c r="Y430">
        <v>0</v>
      </c>
      <c r="AA430">
        <f t="shared" si="64"/>
        <v>1</v>
      </c>
      <c r="AB430" t="str">
        <f t="shared" si="65"/>
        <v>1</v>
      </c>
      <c r="AC430">
        <f t="shared" si="66"/>
        <v>0</v>
      </c>
      <c r="AD430">
        <f t="shared" si="67"/>
        <v>0</v>
      </c>
      <c r="AE430">
        <f t="shared" si="68"/>
        <v>0</v>
      </c>
      <c r="AF430">
        <f t="shared" si="69"/>
        <v>0</v>
      </c>
    </row>
    <row r="431" spans="1:32" x14ac:dyDescent="0.3">
      <c r="A431">
        <v>43</v>
      </c>
      <c r="B431">
        <v>48</v>
      </c>
      <c r="C431">
        <v>156</v>
      </c>
      <c r="D431">
        <f t="shared" si="60"/>
        <v>19.723865877712029</v>
      </c>
      <c r="E431">
        <f t="shared" si="61"/>
        <v>1</v>
      </c>
      <c r="F431">
        <v>58</v>
      </c>
      <c r="G431">
        <f t="shared" si="62"/>
        <v>10</v>
      </c>
      <c r="H431">
        <v>0</v>
      </c>
      <c r="J431">
        <v>0</v>
      </c>
      <c r="K431">
        <v>0</v>
      </c>
      <c r="L431">
        <v>1</v>
      </c>
      <c r="M431">
        <v>39</v>
      </c>
      <c r="N431">
        <v>1</v>
      </c>
      <c r="O431">
        <f t="shared" si="63"/>
        <v>39.142857142857146</v>
      </c>
      <c r="P431">
        <v>0</v>
      </c>
      <c r="Q431">
        <v>0</v>
      </c>
      <c r="R431">
        <v>0</v>
      </c>
      <c r="T431">
        <v>0</v>
      </c>
      <c r="U431">
        <v>0</v>
      </c>
      <c r="V431">
        <v>3420</v>
      </c>
      <c r="W431">
        <v>8</v>
      </c>
      <c r="X431">
        <v>1</v>
      </c>
      <c r="Y431">
        <v>0</v>
      </c>
      <c r="AA431">
        <f t="shared" si="64"/>
        <v>0</v>
      </c>
      <c r="AB431" t="str">
        <f t="shared" si="65"/>
        <v>0</v>
      </c>
      <c r="AC431">
        <f t="shared" si="66"/>
        <v>0</v>
      </c>
      <c r="AD431">
        <f t="shared" si="67"/>
        <v>0</v>
      </c>
      <c r="AE431">
        <f t="shared" si="68"/>
        <v>0</v>
      </c>
      <c r="AF431">
        <f t="shared" si="69"/>
        <v>0</v>
      </c>
    </row>
    <row r="432" spans="1:32" x14ac:dyDescent="0.3">
      <c r="A432">
        <v>36</v>
      </c>
      <c r="B432">
        <v>53</v>
      </c>
      <c r="C432">
        <v>145</v>
      </c>
      <c r="D432">
        <f t="shared" si="60"/>
        <v>25.208085612366229</v>
      </c>
      <c r="E432">
        <f t="shared" si="61"/>
        <v>3</v>
      </c>
      <c r="F432">
        <v>64</v>
      </c>
      <c r="G432">
        <f t="shared" si="62"/>
        <v>11</v>
      </c>
      <c r="H432">
        <v>1</v>
      </c>
      <c r="I432" t="s">
        <v>81</v>
      </c>
      <c r="J432">
        <v>0</v>
      </c>
      <c r="K432">
        <v>0</v>
      </c>
      <c r="L432">
        <v>2</v>
      </c>
      <c r="M432">
        <v>38</v>
      </c>
      <c r="N432">
        <v>3</v>
      </c>
      <c r="O432">
        <f t="shared" si="63"/>
        <v>38.428571428571431</v>
      </c>
      <c r="P432">
        <v>0</v>
      </c>
      <c r="Q432">
        <v>0</v>
      </c>
      <c r="R432">
        <v>0</v>
      </c>
      <c r="T432">
        <v>2</v>
      </c>
      <c r="U432">
        <v>0</v>
      </c>
      <c r="V432">
        <v>3260</v>
      </c>
      <c r="W432">
        <v>9</v>
      </c>
      <c r="X432">
        <v>1</v>
      </c>
      <c r="Y432">
        <v>0</v>
      </c>
      <c r="AA432">
        <f t="shared" si="64"/>
        <v>1</v>
      </c>
      <c r="AB432" t="str">
        <f t="shared" si="65"/>
        <v>0</v>
      </c>
      <c r="AC432">
        <f t="shared" si="66"/>
        <v>0</v>
      </c>
      <c r="AD432">
        <f t="shared" si="67"/>
        <v>0</v>
      </c>
      <c r="AE432">
        <f t="shared" si="68"/>
        <v>0</v>
      </c>
      <c r="AF432">
        <f t="shared" si="69"/>
        <v>0</v>
      </c>
    </row>
    <row r="433" spans="1:32" x14ac:dyDescent="0.3">
      <c r="A433">
        <v>27</v>
      </c>
      <c r="B433">
        <v>45</v>
      </c>
      <c r="C433">
        <v>155</v>
      </c>
      <c r="D433">
        <f t="shared" si="60"/>
        <v>18.730489073881373</v>
      </c>
      <c r="E433">
        <f t="shared" si="61"/>
        <v>1</v>
      </c>
      <c r="F433">
        <v>57</v>
      </c>
      <c r="G433">
        <f t="shared" si="62"/>
        <v>12</v>
      </c>
      <c r="H433">
        <v>0</v>
      </c>
      <c r="J433">
        <v>0</v>
      </c>
      <c r="K433">
        <v>0</v>
      </c>
      <c r="L433">
        <v>2</v>
      </c>
      <c r="M433">
        <v>38</v>
      </c>
      <c r="N433">
        <v>3</v>
      </c>
      <c r="O433">
        <f t="shared" si="63"/>
        <v>38.428571428571431</v>
      </c>
      <c r="P433">
        <v>0</v>
      </c>
      <c r="Q433">
        <v>0</v>
      </c>
      <c r="R433">
        <v>0</v>
      </c>
      <c r="T433">
        <v>1</v>
      </c>
      <c r="U433">
        <v>0</v>
      </c>
      <c r="V433">
        <v>3240</v>
      </c>
      <c r="W433">
        <v>9</v>
      </c>
      <c r="X433">
        <v>1</v>
      </c>
      <c r="Y433">
        <v>0</v>
      </c>
      <c r="AA433">
        <f t="shared" si="64"/>
        <v>0</v>
      </c>
      <c r="AB433" t="str">
        <f t="shared" si="65"/>
        <v>0</v>
      </c>
      <c r="AC433">
        <f t="shared" si="66"/>
        <v>0</v>
      </c>
      <c r="AD433">
        <f t="shared" si="67"/>
        <v>0</v>
      </c>
      <c r="AE433">
        <f t="shared" si="68"/>
        <v>0</v>
      </c>
      <c r="AF433">
        <f t="shared" si="69"/>
        <v>0</v>
      </c>
    </row>
    <row r="434" spans="1:32" x14ac:dyDescent="0.3">
      <c r="A434">
        <v>24</v>
      </c>
      <c r="B434">
        <v>54</v>
      </c>
      <c r="C434">
        <v>156</v>
      </c>
      <c r="D434">
        <f t="shared" si="60"/>
        <v>22.189349112426033</v>
      </c>
      <c r="E434">
        <f t="shared" si="61"/>
        <v>1</v>
      </c>
      <c r="F434">
        <v>65</v>
      </c>
      <c r="G434">
        <f t="shared" si="62"/>
        <v>11</v>
      </c>
      <c r="H434">
        <v>1</v>
      </c>
      <c r="I434" t="s">
        <v>80</v>
      </c>
      <c r="J434">
        <v>0</v>
      </c>
      <c r="K434">
        <v>0</v>
      </c>
      <c r="L434">
        <v>0</v>
      </c>
      <c r="M434">
        <v>38</v>
      </c>
      <c r="N434">
        <v>6</v>
      </c>
      <c r="O434">
        <f t="shared" si="63"/>
        <v>38.857142857142854</v>
      </c>
      <c r="P434">
        <v>0</v>
      </c>
      <c r="Q434">
        <v>0</v>
      </c>
      <c r="R434">
        <v>0</v>
      </c>
      <c r="T434">
        <v>0</v>
      </c>
      <c r="U434">
        <v>0</v>
      </c>
      <c r="V434">
        <v>3030</v>
      </c>
      <c r="W434">
        <v>6</v>
      </c>
      <c r="X434">
        <v>1</v>
      </c>
      <c r="Y434">
        <v>0</v>
      </c>
      <c r="AA434">
        <f t="shared" si="64"/>
        <v>0</v>
      </c>
      <c r="AB434" t="str">
        <f t="shared" si="65"/>
        <v>0</v>
      </c>
      <c r="AC434">
        <f t="shared" si="66"/>
        <v>0</v>
      </c>
      <c r="AD434">
        <f t="shared" si="67"/>
        <v>1</v>
      </c>
      <c r="AE434">
        <f t="shared" si="68"/>
        <v>0</v>
      </c>
      <c r="AF434">
        <f t="shared" si="69"/>
        <v>0</v>
      </c>
    </row>
    <row r="435" spans="1:32" x14ac:dyDescent="0.3">
      <c r="A435">
        <v>22</v>
      </c>
      <c r="B435">
        <v>52</v>
      </c>
      <c r="C435">
        <v>150</v>
      </c>
      <c r="D435">
        <f t="shared" si="60"/>
        <v>23.111111111111111</v>
      </c>
      <c r="E435">
        <f t="shared" si="61"/>
        <v>2</v>
      </c>
      <c r="F435">
        <v>68</v>
      </c>
      <c r="G435">
        <f t="shared" si="62"/>
        <v>16</v>
      </c>
      <c r="H435">
        <v>0</v>
      </c>
      <c r="J435">
        <v>0</v>
      </c>
      <c r="K435">
        <v>0</v>
      </c>
      <c r="L435">
        <v>0</v>
      </c>
      <c r="M435">
        <v>39</v>
      </c>
      <c r="N435">
        <v>0</v>
      </c>
      <c r="O435">
        <f t="shared" si="63"/>
        <v>39</v>
      </c>
      <c r="P435">
        <v>0</v>
      </c>
      <c r="Q435">
        <v>0</v>
      </c>
      <c r="R435">
        <v>3</v>
      </c>
      <c r="S435" t="s">
        <v>35</v>
      </c>
      <c r="T435">
        <v>0</v>
      </c>
      <c r="U435">
        <v>0</v>
      </c>
      <c r="V435">
        <v>2415</v>
      </c>
      <c r="W435">
        <v>5</v>
      </c>
      <c r="X435">
        <v>1</v>
      </c>
      <c r="Y435">
        <v>0</v>
      </c>
      <c r="AA435">
        <f t="shared" si="64"/>
        <v>1</v>
      </c>
      <c r="AB435" t="str">
        <f t="shared" si="65"/>
        <v>1</v>
      </c>
      <c r="AC435">
        <f t="shared" si="66"/>
        <v>0</v>
      </c>
      <c r="AD435">
        <f t="shared" si="67"/>
        <v>1</v>
      </c>
      <c r="AE435">
        <f t="shared" si="68"/>
        <v>1</v>
      </c>
      <c r="AF435">
        <f t="shared" si="69"/>
        <v>0</v>
      </c>
    </row>
    <row r="436" spans="1:32" x14ac:dyDescent="0.3">
      <c r="A436">
        <v>26</v>
      </c>
      <c r="B436">
        <v>45</v>
      </c>
      <c r="C436">
        <v>156</v>
      </c>
      <c r="D436">
        <f t="shared" si="60"/>
        <v>18.491124260355029</v>
      </c>
      <c r="E436">
        <f t="shared" si="61"/>
        <v>0</v>
      </c>
      <c r="F436">
        <v>57</v>
      </c>
      <c r="G436">
        <f t="shared" si="62"/>
        <v>12</v>
      </c>
      <c r="H436">
        <v>0</v>
      </c>
      <c r="J436">
        <v>0</v>
      </c>
      <c r="K436">
        <v>0</v>
      </c>
      <c r="L436">
        <v>0</v>
      </c>
      <c r="M436">
        <v>39</v>
      </c>
      <c r="N436">
        <v>5</v>
      </c>
      <c r="O436">
        <f t="shared" si="63"/>
        <v>39.714285714285715</v>
      </c>
      <c r="P436">
        <v>0</v>
      </c>
      <c r="Q436">
        <v>0</v>
      </c>
      <c r="R436">
        <v>0</v>
      </c>
      <c r="T436">
        <v>0</v>
      </c>
      <c r="U436">
        <v>0</v>
      </c>
      <c r="V436">
        <v>3310</v>
      </c>
      <c r="W436">
        <v>9</v>
      </c>
      <c r="X436">
        <v>0</v>
      </c>
      <c r="Y436">
        <v>0</v>
      </c>
      <c r="AA436">
        <f t="shared" si="64"/>
        <v>0</v>
      </c>
      <c r="AB436" t="str">
        <f t="shared" si="65"/>
        <v>0</v>
      </c>
      <c r="AC436">
        <f t="shared" si="66"/>
        <v>0</v>
      </c>
      <c r="AD436">
        <f t="shared" si="67"/>
        <v>0</v>
      </c>
      <c r="AE436">
        <f t="shared" si="68"/>
        <v>0</v>
      </c>
      <c r="AF436">
        <f t="shared" si="69"/>
        <v>0</v>
      </c>
    </row>
    <row r="437" spans="1:32" x14ac:dyDescent="0.3">
      <c r="A437">
        <v>27</v>
      </c>
      <c r="B437">
        <v>58</v>
      </c>
      <c r="C437">
        <v>167</v>
      </c>
      <c r="D437">
        <f t="shared" si="60"/>
        <v>20.796729893506402</v>
      </c>
      <c r="E437">
        <f t="shared" si="61"/>
        <v>1</v>
      </c>
      <c r="F437">
        <v>72</v>
      </c>
      <c r="G437">
        <f t="shared" si="62"/>
        <v>14</v>
      </c>
      <c r="H437">
        <v>0</v>
      </c>
      <c r="J437">
        <v>0</v>
      </c>
      <c r="K437">
        <v>0</v>
      </c>
      <c r="L437">
        <v>0</v>
      </c>
      <c r="M437">
        <v>38</v>
      </c>
      <c r="N437">
        <v>6</v>
      </c>
      <c r="O437">
        <f t="shared" si="63"/>
        <v>38.857142857142854</v>
      </c>
      <c r="P437">
        <v>1</v>
      </c>
      <c r="Q437">
        <v>0</v>
      </c>
      <c r="R437">
        <v>3</v>
      </c>
      <c r="S437" t="s">
        <v>35</v>
      </c>
      <c r="T437">
        <v>0</v>
      </c>
      <c r="U437">
        <v>0</v>
      </c>
      <c r="V437">
        <v>3500</v>
      </c>
      <c r="W437">
        <v>8</v>
      </c>
      <c r="X437">
        <v>1</v>
      </c>
      <c r="Y437">
        <v>0</v>
      </c>
      <c r="AA437">
        <f t="shared" si="64"/>
        <v>0</v>
      </c>
      <c r="AB437" t="str">
        <f t="shared" si="65"/>
        <v>0</v>
      </c>
      <c r="AC437">
        <f t="shared" si="66"/>
        <v>0</v>
      </c>
      <c r="AD437">
        <f t="shared" si="67"/>
        <v>0</v>
      </c>
      <c r="AE437">
        <f t="shared" si="68"/>
        <v>1</v>
      </c>
      <c r="AF437">
        <f t="shared" si="69"/>
        <v>0</v>
      </c>
    </row>
    <row r="438" spans="1:32" x14ac:dyDescent="0.3">
      <c r="A438">
        <v>30</v>
      </c>
      <c r="B438">
        <v>76</v>
      </c>
      <c r="C438">
        <v>160</v>
      </c>
      <c r="D438">
        <f t="shared" si="60"/>
        <v>29.687499999999993</v>
      </c>
      <c r="E438">
        <f t="shared" si="61"/>
        <v>3</v>
      </c>
      <c r="F438">
        <v>94.5</v>
      </c>
      <c r="G438">
        <f t="shared" si="62"/>
        <v>18.5</v>
      </c>
      <c r="H438">
        <v>1</v>
      </c>
      <c r="I438" t="s">
        <v>32</v>
      </c>
      <c r="J438">
        <v>0</v>
      </c>
      <c r="K438">
        <v>0</v>
      </c>
      <c r="L438">
        <v>1</v>
      </c>
      <c r="M438">
        <v>38</v>
      </c>
      <c r="N438">
        <v>3</v>
      </c>
      <c r="O438">
        <f t="shared" si="63"/>
        <v>38.428571428571431</v>
      </c>
      <c r="P438">
        <v>0</v>
      </c>
      <c r="Q438">
        <v>0</v>
      </c>
      <c r="R438">
        <v>0</v>
      </c>
      <c r="T438">
        <v>2</v>
      </c>
      <c r="U438">
        <v>0</v>
      </c>
      <c r="V438">
        <v>2710</v>
      </c>
      <c r="W438">
        <v>9</v>
      </c>
      <c r="X438">
        <v>1</v>
      </c>
      <c r="Y438">
        <v>0</v>
      </c>
      <c r="AA438">
        <f t="shared" si="64"/>
        <v>1</v>
      </c>
      <c r="AB438" t="str">
        <f t="shared" si="65"/>
        <v>0</v>
      </c>
      <c r="AC438">
        <f t="shared" si="66"/>
        <v>0</v>
      </c>
      <c r="AD438">
        <f t="shared" si="67"/>
        <v>0</v>
      </c>
      <c r="AE438">
        <f t="shared" si="68"/>
        <v>0</v>
      </c>
      <c r="AF438">
        <f t="shared" si="69"/>
        <v>0</v>
      </c>
    </row>
    <row r="439" spans="1:32" x14ac:dyDescent="0.3">
      <c r="A439">
        <v>32</v>
      </c>
      <c r="B439">
        <v>60</v>
      </c>
      <c r="C439">
        <v>157</v>
      </c>
      <c r="D439">
        <f t="shared" si="60"/>
        <v>24.341758286340216</v>
      </c>
      <c r="E439">
        <f t="shared" si="61"/>
        <v>2</v>
      </c>
      <c r="F439">
        <v>68</v>
      </c>
      <c r="G439">
        <f t="shared" si="62"/>
        <v>8</v>
      </c>
      <c r="H439">
        <v>0</v>
      </c>
      <c r="J439">
        <v>0</v>
      </c>
      <c r="K439">
        <v>0</v>
      </c>
      <c r="L439">
        <v>1</v>
      </c>
      <c r="M439">
        <v>39</v>
      </c>
      <c r="N439">
        <v>0</v>
      </c>
      <c r="O439">
        <f t="shared" si="63"/>
        <v>39</v>
      </c>
      <c r="P439">
        <v>1</v>
      </c>
      <c r="Q439">
        <v>0</v>
      </c>
      <c r="R439">
        <v>0</v>
      </c>
      <c r="T439">
        <v>0</v>
      </c>
      <c r="U439">
        <v>0</v>
      </c>
      <c r="V439">
        <v>4080</v>
      </c>
      <c r="W439">
        <v>8</v>
      </c>
      <c r="X439">
        <v>1</v>
      </c>
      <c r="Y439">
        <v>0</v>
      </c>
      <c r="AA439">
        <f t="shared" si="64"/>
        <v>0</v>
      </c>
      <c r="AB439" t="str">
        <f t="shared" si="65"/>
        <v>2</v>
      </c>
      <c r="AC439">
        <f t="shared" si="66"/>
        <v>1</v>
      </c>
      <c r="AD439">
        <f t="shared" si="67"/>
        <v>0</v>
      </c>
      <c r="AE439">
        <f t="shared" si="68"/>
        <v>0</v>
      </c>
      <c r="AF439">
        <f t="shared" si="69"/>
        <v>0</v>
      </c>
    </row>
    <row r="440" spans="1:32" x14ac:dyDescent="0.3">
      <c r="A440">
        <v>27</v>
      </c>
      <c r="B440">
        <v>78</v>
      </c>
      <c r="C440">
        <v>163</v>
      </c>
      <c r="D440">
        <f t="shared" si="60"/>
        <v>29.357521924046825</v>
      </c>
      <c r="E440">
        <f t="shared" si="61"/>
        <v>3</v>
      </c>
      <c r="F440">
        <v>92</v>
      </c>
      <c r="G440">
        <f t="shared" si="62"/>
        <v>14</v>
      </c>
      <c r="H440">
        <v>1</v>
      </c>
      <c r="I440" t="s">
        <v>32</v>
      </c>
      <c r="J440">
        <v>0</v>
      </c>
      <c r="K440">
        <v>0</v>
      </c>
      <c r="L440">
        <v>0</v>
      </c>
      <c r="M440">
        <v>38</v>
      </c>
      <c r="N440">
        <v>6</v>
      </c>
      <c r="O440">
        <f t="shared" si="63"/>
        <v>38.857142857142854</v>
      </c>
      <c r="P440">
        <v>1</v>
      </c>
      <c r="Q440">
        <v>0</v>
      </c>
      <c r="R440">
        <v>3</v>
      </c>
      <c r="S440" t="s">
        <v>43</v>
      </c>
      <c r="T440">
        <v>0</v>
      </c>
      <c r="U440">
        <v>0</v>
      </c>
      <c r="V440">
        <v>3910</v>
      </c>
      <c r="W440">
        <v>8</v>
      </c>
      <c r="X440">
        <v>1</v>
      </c>
      <c r="Y440">
        <v>0</v>
      </c>
      <c r="AA440">
        <f t="shared" si="64"/>
        <v>1</v>
      </c>
      <c r="AB440" t="str">
        <f t="shared" si="65"/>
        <v>2</v>
      </c>
      <c r="AC440">
        <f t="shared" si="66"/>
        <v>0</v>
      </c>
      <c r="AD440">
        <f t="shared" si="67"/>
        <v>0</v>
      </c>
      <c r="AE440">
        <f t="shared" si="68"/>
        <v>1</v>
      </c>
      <c r="AF440">
        <f t="shared" si="69"/>
        <v>0</v>
      </c>
    </row>
    <row r="441" spans="1:32" x14ac:dyDescent="0.3">
      <c r="A441">
        <v>33</v>
      </c>
      <c r="B441">
        <v>52</v>
      </c>
      <c r="C441">
        <v>161</v>
      </c>
      <c r="D441">
        <f t="shared" si="60"/>
        <v>20.060954438486167</v>
      </c>
      <c r="E441">
        <f t="shared" si="61"/>
        <v>1</v>
      </c>
      <c r="F441">
        <v>68.5</v>
      </c>
      <c r="G441">
        <f t="shared" si="62"/>
        <v>16.5</v>
      </c>
      <c r="H441">
        <v>0</v>
      </c>
      <c r="J441">
        <v>0</v>
      </c>
      <c r="K441">
        <v>0</v>
      </c>
      <c r="L441">
        <v>1</v>
      </c>
      <c r="M441">
        <v>39</v>
      </c>
      <c r="N441">
        <v>2</v>
      </c>
      <c r="O441">
        <f t="shared" si="63"/>
        <v>39.285714285714285</v>
      </c>
      <c r="P441">
        <v>0</v>
      </c>
      <c r="Q441">
        <v>0</v>
      </c>
      <c r="R441">
        <v>0</v>
      </c>
      <c r="T441">
        <v>3</v>
      </c>
      <c r="U441">
        <v>0</v>
      </c>
      <c r="V441">
        <v>4210</v>
      </c>
      <c r="W441">
        <v>8</v>
      </c>
      <c r="X441">
        <v>1</v>
      </c>
      <c r="Y441">
        <v>0</v>
      </c>
      <c r="AA441">
        <f t="shared" si="64"/>
        <v>1</v>
      </c>
      <c r="AB441" t="str">
        <f t="shared" si="65"/>
        <v>2</v>
      </c>
      <c r="AC441">
        <f t="shared" si="66"/>
        <v>1</v>
      </c>
      <c r="AD441">
        <f t="shared" si="67"/>
        <v>0</v>
      </c>
      <c r="AE441">
        <f t="shared" si="68"/>
        <v>0</v>
      </c>
      <c r="AF441">
        <f t="shared" si="69"/>
        <v>0</v>
      </c>
    </row>
    <row r="442" spans="1:32" x14ac:dyDescent="0.3">
      <c r="A442">
        <v>33</v>
      </c>
      <c r="B442">
        <v>70</v>
      </c>
      <c r="C442">
        <v>160</v>
      </c>
      <c r="D442">
        <f t="shared" si="60"/>
        <v>27.343749999999996</v>
      </c>
      <c r="E442">
        <f t="shared" si="61"/>
        <v>3</v>
      </c>
      <c r="F442">
        <v>74</v>
      </c>
      <c r="G442">
        <f t="shared" si="62"/>
        <v>4</v>
      </c>
      <c r="H442">
        <v>1</v>
      </c>
      <c r="I442" t="s">
        <v>79</v>
      </c>
      <c r="J442">
        <v>0</v>
      </c>
      <c r="K442">
        <v>0</v>
      </c>
      <c r="L442">
        <v>0</v>
      </c>
      <c r="M442">
        <v>39</v>
      </c>
      <c r="N442">
        <v>5</v>
      </c>
      <c r="O442">
        <f t="shared" si="63"/>
        <v>39.714285714285715</v>
      </c>
      <c r="P442">
        <v>0</v>
      </c>
      <c r="Q442">
        <v>0</v>
      </c>
      <c r="R442">
        <v>3</v>
      </c>
      <c r="S442" t="s">
        <v>78</v>
      </c>
      <c r="T442">
        <v>0</v>
      </c>
      <c r="U442">
        <v>0</v>
      </c>
      <c r="V442">
        <v>3500</v>
      </c>
      <c r="W442">
        <v>8</v>
      </c>
      <c r="X442">
        <v>1</v>
      </c>
      <c r="Y442">
        <v>0</v>
      </c>
      <c r="AA442">
        <f t="shared" si="64"/>
        <v>0</v>
      </c>
      <c r="AB442" t="str">
        <f t="shared" si="65"/>
        <v>0</v>
      </c>
      <c r="AC442">
        <f t="shared" si="66"/>
        <v>0</v>
      </c>
      <c r="AD442">
        <f t="shared" si="67"/>
        <v>0</v>
      </c>
      <c r="AE442">
        <f t="shared" si="68"/>
        <v>1</v>
      </c>
      <c r="AF442">
        <f t="shared" si="69"/>
        <v>0</v>
      </c>
    </row>
    <row r="443" spans="1:32" x14ac:dyDescent="0.3">
      <c r="A443">
        <v>34</v>
      </c>
      <c r="B443">
        <v>68</v>
      </c>
      <c r="C443">
        <v>166</v>
      </c>
      <c r="D443">
        <f t="shared" si="60"/>
        <v>24.677021338365513</v>
      </c>
      <c r="E443">
        <f t="shared" si="61"/>
        <v>2</v>
      </c>
      <c r="F443">
        <v>84</v>
      </c>
      <c r="G443">
        <f t="shared" si="62"/>
        <v>16</v>
      </c>
      <c r="H443">
        <v>0</v>
      </c>
      <c r="J443">
        <v>0</v>
      </c>
      <c r="K443">
        <v>0</v>
      </c>
      <c r="L443">
        <v>0</v>
      </c>
      <c r="M443">
        <v>39</v>
      </c>
      <c r="N443">
        <v>4</v>
      </c>
      <c r="O443">
        <f t="shared" si="63"/>
        <v>39.571428571428569</v>
      </c>
      <c r="P443">
        <v>0</v>
      </c>
      <c r="Q443">
        <v>0</v>
      </c>
      <c r="R443">
        <v>3</v>
      </c>
      <c r="S443" t="s">
        <v>35</v>
      </c>
      <c r="T443">
        <v>0</v>
      </c>
      <c r="U443">
        <v>0</v>
      </c>
      <c r="V443">
        <v>3480</v>
      </c>
      <c r="W443">
        <v>8</v>
      </c>
      <c r="X443">
        <v>1</v>
      </c>
      <c r="Y443">
        <v>0</v>
      </c>
      <c r="AA443">
        <f t="shared" si="64"/>
        <v>1</v>
      </c>
      <c r="AB443" t="str">
        <f t="shared" si="65"/>
        <v>0</v>
      </c>
      <c r="AC443">
        <f t="shared" si="66"/>
        <v>0</v>
      </c>
      <c r="AD443">
        <f t="shared" si="67"/>
        <v>0</v>
      </c>
      <c r="AE443">
        <f t="shared" si="68"/>
        <v>1</v>
      </c>
      <c r="AF443">
        <f t="shared" si="69"/>
        <v>0</v>
      </c>
    </row>
    <row r="444" spans="1:32" x14ac:dyDescent="0.3">
      <c r="A444">
        <v>23</v>
      </c>
      <c r="B444">
        <v>49</v>
      </c>
      <c r="C444">
        <v>155</v>
      </c>
      <c r="D444">
        <f t="shared" si="60"/>
        <v>20.39542143600416</v>
      </c>
      <c r="E444">
        <f t="shared" si="61"/>
        <v>1</v>
      </c>
      <c r="F444">
        <v>62</v>
      </c>
      <c r="G444">
        <f t="shared" si="62"/>
        <v>13</v>
      </c>
      <c r="H444">
        <v>0</v>
      </c>
      <c r="J444">
        <v>0</v>
      </c>
      <c r="K444">
        <v>0</v>
      </c>
      <c r="L444">
        <v>0</v>
      </c>
      <c r="M444">
        <v>40</v>
      </c>
      <c r="N444">
        <v>6</v>
      </c>
      <c r="O444">
        <f t="shared" si="63"/>
        <v>40.857142857142854</v>
      </c>
      <c r="P444">
        <v>0</v>
      </c>
      <c r="Q444">
        <v>0</v>
      </c>
      <c r="R444">
        <v>3</v>
      </c>
      <c r="S444" t="s">
        <v>35</v>
      </c>
      <c r="T444">
        <v>0</v>
      </c>
      <c r="U444">
        <v>0</v>
      </c>
      <c r="V444">
        <v>3320</v>
      </c>
      <c r="W444">
        <v>9</v>
      </c>
      <c r="X444">
        <v>1</v>
      </c>
      <c r="Y444">
        <v>0</v>
      </c>
      <c r="AA444">
        <f t="shared" si="64"/>
        <v>0</v>
      </c>
      <c r="AB444" t="str">
        <f t="shared" si="65"/>
        <v>0</v>
      </c>
      <c r="AC444">
        <f t="shared" si="66"/>
        <v>0</v>
      </c>
      <c r="AD444">
        <f t="shared" si="67"/>
        <v>0</v>
      </c>
      <c r="AE444">
        <f t="shared" si="68"/>
        <v>1</v>
      </c>
      <c r="AF444">
        <f t="shared" si="69"/>
        <v>0</v>
      </c>
    </row>
    <row r="445" spans="1:32" x14ac:dyDescent="0.3">
      <c r="A445">
        <v>25</v>
      </c>
      <c r="B445">
        <v>60</v>
      </c>
      <c r="C445">
        <v>163</v>
      </c>
      <c r="D445">
        <f t="shared" si="60"/>
        <v>22.582709172343712</v>
      </c>
      <c r="E445">
        <f t="shared" si="61"/>
        <v>1</v>
      </c>
      <c r="F445">
        <v>68</v>
      </c>
      <c r="G445">
        <f t="shared" si="62"/>
        <v>8</v>
      </c>
      <c r="H445">
        <v>0</v>
      </c>
      <c r="J445">
        <v>0</v>
      </c>
      <c r="K445">
        <v>1</v>
      </c>
      <c r="L445">
        <v>1</v>
      </c>
      <c r="M445">
        <v>39</v>
      </c>
      <c r="N445">
        <v>3</v>
      </c>
      <c r="O445">
        <f t="shared" si="63"/>
        <v>39.428571428571431</v>
      </c>
      <c r="P445">
        <v>0</v>
      </c>
      <c r="Q445">
        <v>0</v>
      </c>
      <c r="R445">
        <v>3</v>
      </c>
      <c r="S445" t="s">
        <v>34</v>
      </c>
      <c r="T445">
        <v>0</v>
      </c>
      <c r="U445">
        <v>0</v>
      </c>
      <c r="V445">
        <v>3140</v>
      </c>
      <c r="W445">
        <v>9</v>
      </c>
      <c r="X445">
        <v>1</v>
      </c>
      <c r="Y445">
        <v>0</v>
      </c>
      <c r="AA445">
        <f t="shared" si="64"/>
        <v>0</v>
      </c>
      <c r="AB445" t="str">
        <f t="shared" si="65"/>
        <v>0</v>
      </c>
      <c r="AC445">
        <f t="shared" si="66"/>
        <v>0</v>
      </c>
      <c r="AD445">
        <f t="shared" si="67"/>
        <v>0</v>
      </c>
      <c r="AE445">
        <f t="shared" si="68"/>
        <v>1</v>
      </c>
      <c r="AF445">
        <f t="shared" si="69"/>
        <v>0</v>
      </c>
    </row>
    <row r="446" spans="1:32" x14ac:dyDescent="0.3">
      <c r="A446">
        <v>30</v>
      </c>
      <c r="B446">
        <v>56</v>
      </c>
      <c r="C446">
        <v>158</v>
      </c>
      <c r="D446">
        <f t="shared" si="60"/>
        <v>22.432302515622492</v>
      </c>
      <c r="E446">
        <f t="shared" si="61"/>
        <v>1</v>
      </c>
      <c r="F446">
        <v>69</v>
      </c>
      <c r="G446">
        <f t="shared" si="62"/>
        <v>13</v>
      </c>
      <c r="H446">
        <v>1</v>
      </c>
      <c r="I446" t="s">
        <v>52</v>
      </c>
      <c r="J446">
        <v>0</v>
      </c>
      <c r="K446">
        <v>1</v>
      </c>
      <c r="L446">
        <v>2</v>
      </c>
      <c r="M446">
        <v>40</v>
      </c>
      <c r="N446">
        <v>0</v>
      </c>
      <c r="O446">
        <f t="shared" si="63"/>
        <v>40</v>
      </c>
      <c r="P446">
        <v>0</v>
      </c>
      <c r="Q446">
        <v>0</v>
      </c>
      <c r="R446">
        <v>3</v>
      </c>
      <c r="S446" t="s">
        <v>34</v>
      </c>
      <c r="T446">
        <v>0</v>
      </c>
      <c r="U446">
        <v>0</v>
      </c>
      <c r="V446">
        <v>3060</v>
      </c>
      <c r="W446">
        <v>9</v>
      </c>
      <c r="X446">
        <v>1</v>
      </c>
      <c r="Y446">
        <v>0</v>
      </c>
      <c r="AA446">
        <f t="shared" si="64"/>
        <v>0</v>
      </c>
      <c r="AB446" t="str">
        <f t="shared" si="65"/>
        <v>0</v>
      </c>
      <c r="AC446">
        <f t="shared" si="66"/>
        <v>0</v>
      </c>
      <c r="AD446">
        <f t="shared" si="67"/>
        <v>0</v>
      </c>
      <c r="AE446">
        <f t="shared" si="68"/>
        <v>1</v>
      </c>
      <c r="AF446">
        <f t="shared" si="69"/>
        <v>0</v>
      </c>
    </row>
    <row r="447" spans="1:32" x14ac:dyDescent="0.3">
      <c r="A447">
        <v>29</v>
      </c>
      <c r="B447">
        <v>67</v>
      </c>
      <c r="C447">
        <v>165</v>
      </c>
      <c r="D447">
        <f t="shared" si="60"/>
        <v>24.609733700642796</v>
      </c>
      <c r="E447">
        <f t="shared" si="61"/>
        <v>2</v>
      </c>
      <c r="F447">
        <v>85</v>
      </c>
      <c r="G447">
        <f t="shared" si="62"/>
        <v>18</v>
      </c>
      <c r="H447">
        <v>0</v>
      </c>
      <c r="J447">
        <v>0</v>
      </c>
      <c r="K447">
        <v>1</v>
      </c>
      <c r="L447">
        <v>1</v>
      </c>
      <c r="M447">
        <v>38</v>
      </c>
      <c r="N447">
        <v>4</v>
      </c>
      <c r="O447">
        <f t="shared" si="63"/>
        <v>38.571428571428569</v>
      </c>
      <c r="P447">
        <v>0</v>
      </c>
      <c r="Q447">
        <v>0</v>
      </c>
      <c r="R447">
        <v>3</v>
      </c>
      <c r="S447" t="s">
        <v>34</v>
      </c>
      <c r="T447">
        <v>0</v>
      </c>
      <c r="U447">
        <v>0</v>
      </c>
      <c r="V447">
        <v>3350</v>
      </c>
      <c r="W447">
        <v>9</v>
      </c>
      <c r="X447">
        <v>1</v>
      </c>
      <c r="Y447">
        <v>0</v>
      </c>
      <c r="AA447">
        <f t="shared" si="64"/>
        <v>1</v>
      </c>
      <c r="AB447" t="str">
        <f t="shared" si="65"/>
        <v>0</v>
      </c>
      <c r="AC447">
        <f t="shared" si="66"/>
        <v>0</v>
      </c>
      <c r="AD447">
        <f t="shared" si="67"/>
        <v>0</v>
      </c>
      <c r="AE447">
        <f t="shared" si="68"/>
        <v>1</v>
      </c>
      <c r="AF447">
        <f t="shared" si="69"/>
        <v>0</v>
      </c>
    </row>
    <row r="448" spans="1:32" x14ac:dyDescent="0.3">
      <c r="A448">
        <v>31</v>
      </c>
      <c r="B448">
        <v>55</v>
      </c>
      <c r="C448">
        <v>157</v>
      </c>
      <c r="D448">
        <f t="shared" si="60"/>
        <v>22.313278429145196</v>
      </c>
      <c r="E448">
        <f t="shared" si="61"/>
        <v>1</v>
      </c>
      <c r="F448">
        <v>69</v>
      </c>
      <c r="G448">
        <f t="shared" si="62"/>
        <v>14</v>
      </c>
      <c r="H448">
        <v>0</v>
      </c>
      <c r="J448">
        <v>0</v>
      </c>
      <c r="K448">
        <v>0</v>
      </c>
      <c r="L448">
        <v>1</v>
      </c>
      <c r="M448">
        <v>39</v>
      </c>
      <c r="N448">
        <v>5</v>
      </c>
      <c r="O448">
        <f t="shared" si="63"/>
        <v>39.714285714285715</v>
      </c>
      <c r="P448">
        <v>0</v>
      </c>
      <c r="Q448">
        <v>0</v>
      </c>
      <c r="R448">
        <v>0</v>
      </c>
      <c r="T448">
        <v>0</v>
      </c>
      <c r="U448">
        <v>0</v>
      </c>
      <c r="V448">
        <v>2780</v>
      </c>
      <c r="W448">
        <v>9</v>
      </c>
      <c r="X448">
        <v>1</v>
      </c>
      <c r="Y448">
        <v>0</v>
      </c>
      <c r="AA448">
        <f t="shared" si="64"/>
        <v>0</v>
      </c>
      <c r="AB448" t="str">
        <f t="shared" si="65"/>
        <v>0</v>
      </c>
      <c r="AC448">
        <f t="shared" si="66"/>
        <v>0</v>
      </c>
      <c r="AD448">
        <f t="shared" si="67"/>
        <v>0</v>
      </c>
      <c r="AE448">
        <f t="shared" si="68"/>
        <v>0</v>
      </c>
      <c r="AF448">
        <f t="shared" si="69"/>
        <v>0</v>
      </c>
    </row>
    <row r="449" spans="1:32" x14ac:dyDescent="0.3">
      <c r="A449">
        <v>28</v>
      </c>
      <c r="B449">
        <v>46</v>
      </c>
      <c r="C449">
        <v>165</v>
      </c>
      <c r="D449">
        <f t="shared" si="60"/>
        <v>16.896235078053262</v>
      </c>
      <c r="E449">
        <f t="shared" si="61"/>
        <v>0</v>
      </c>
      <c r="F449">
        <v>48</v>
      </c>
      <c r="G449">
        <f t="shared" si="62"/>
        <v>2</v>
      </c>
      <c r="H449">
        <v>1</v>
      </c>
      <c r="I449" t="s">
        <v>82</v>
      </c>
      <c r="J449">
        <v>0</v>
      </c>
      <c r="K449">
        <v>0</v>
      </c>
      <c r="L449">
        <v>0</v>
      </c>
      <c r="M449">
        <v>37</v>
      </c>
      <c r="N449">
        <v>5</v>
      </c>
      <c r="O449">
        <f t="shared" si="63"/>
        <v>37.714285714285715</v>
      </c>
      <c r="P449">
        <v>0</v>
      </c>
      <c r="Q449">
        <v>0</v>
      </c>
      <c r="R449">
        <v>3</v>
      </c>
      <c r="S449" t="s">
        <v>49</v>
      </c>
      <c r="T449">
        <v>0</v>
      </c>
      <c r="U449">
        <v>0</v>
      </c>
      <c r="V449">
        <v>2150</v>
      </c>
      <c r="W449">
        <v>8</v>
      </c>
      <c r="X449">
        <v>1</v>
      </c>
      <c r="Y449">
        <v>0</v>
      </c>
      <c r="AA449">
        <f t="shared" si="64"/>
        <v>0</v>
      </c>
      <c r="AB449" t="str">
        <f t="shared" si="65"/>
        <v>1</v>
      </c>
      <c r="AC449">
        <f t="shared" si="66"/>
        <v>0</v>
      </c>
      <c r="AD449">
        <f t="shared" si="67"/>
        <v>0</v>
      </c>
      <c r="AE449">
        <f t="shared" si="68"/>
        <v>1</v>
      </c>
      <c r="AF449">
        <f t="shared" si="69"/>
        <v>0</v>
      </c>
    </row>
    <row r="450" spans="1:32" x14ac:dyDescent="0.3">
      <c r="A450">
        <v>31</v>
      </c>
      <c r="B450">
        <v>56</v>
      </c>
      <c r="C450">
        <v>157</v>
      </c>
      <c r="D450">
        <f t="shared" si="60"/>
        <v>22.718974400584202</v>
      </c>
      <c r="E450">
        <f t="shared" si="61"/>
        <v>1</v>
      </c>
      <c r="F450">
        <v>64</v>
      </c>
      <c r="G450">
        <f t="shared" si="62"/>
        <v>8</v>
      </c>
      <c r="H450">
        <v>0</v>
      </c>
      <c r="J450">
        <v>0</v>
      </c>
      <c r="K450">
        <v>0</v>
      </c>
      <c r="L450">
        <v>2</v>
      </c>
      <c r="M450">
        <v>37</v>
      </c>
      <c r="N450">
        <v>6</v>
      </c>
      <c r="O450">
        <f t="shared" si="63"/>
        <v>37.857142857142854</v>
      </c>
      <c r="P450">
        <v>0</v>
      </c>
      <c r="Q450">
        <v>0</v>
      </c>
      <c r="R450">
        <v>0</v>
      </c>
      <c r="T450">
        <v>1</v>
      </c>
      <c r="U450">
        <v>0</v>
      </c>
      <c r="V450">
        <v>2520</v>
      </c>
      <c r="W450">
        <v>9</v>
      </c>
      <c r="X450">
        <v>0</v>
      </c>
      <c r="Y450">
        <v>0</v>
      </c>
      <c r="AA450">
        <f t="shared" si="64"/>
        <v>0</v>
      </c>
      <c r="AB450" t="str">
        <f t="shared" si="65"/>
        <v>0</v>
      </c>
      <c r="AC450">
        <f t="shared" si="66"/>
        <v>0</v>
      </c>
      <c r="AD450">
        <f t="shared" si="67"/>
        <v>0</v>
      </c>
      <c r="AE450">
        <f t="shared" si="68"/>
        <v>0</v>
      </c>
      <c r="AF450">
        <f t="shared" si="69"/>
        <v>0</v>
      </c>
    </row>
    <row r="451" spans="1:32" x14ac:dyDescent="0.3">
      <c r="A451">
        <v>39</v>
      </c>
      <c r="B451">
        <v>67</v>
      </c>
      <c r="C451">
        <v>150</v>
      </c>
      <c r="D451">
        <f t="shared" si="60"/>
        <v>29.777777777777779</v>
      </c>
      <c r="E451">
        <f t="shared" si="61"/>
        <v>3</v>
      </c>
      <c r="F451">
        <v>78</v>
      </c>
      <c r="G451">
        <f t="shared" si="62"/>
        <v>11</v>
      </c>
      <c r="H451">
        <v>1</v>
      </c>
      <c r="I451" t="s">
        <v>32</v>
      </c>
      <c r="J451">
        <v>0</v>
      </c>
      <c r="K451">
        <v>1</v>
      </c>
      <c r="L451">
        <v>1</v>
      </c>
      <c r="M451">
        <v>38</v>
      </c>
      <c r="N451">
        <v>6</v>
      </c>
      <c r="O451">
        <f t="shared" si="63"/>
        <v>38.857142857142854</v>
      </c>
      <c r="P451">
        <v>1</v>
      </c>
      <c r="Q451">
        <v>0</v>
      </c>
      <c r="R451">
        <v>3</v>
      </c>
      <c r="S451" t="s">
        <v>34</v>
      </c>
      <c r="T451">
        <v>0</v>
      </c>
      <c r="U451">
        <v>0</v>
      </c>
      <c r="V451">
        <v>2770</v>
      </c>
      <c r="W451">
        <v>9</v>
      </c>
      <c r="X451">
        <v>1</v>
      </c>
      <c r="Y451">
        <v>0</v>
      </c>
      <c r="AA451">
        <f t="shared" si="64"/>
        <v>1</v>
      </c>
      <c r="AB451" t="str">
        <f t="shared" si="65"/>
        <v>0</v>
      </c>
      <c r="AC451">
        <f t="shared" si="66"/>
        <v>0</v>
      </c>
      <c r="AD451">
        <f t="shared" si="67"/>
        <v>0</v>
      </c>
      <c r="AE451">
        <f t="shared" si="68"/>
        <v>1</v>
      </c>
      <c r="AF451">
        <f t="shared" si="69"/>
        <v>0</v>
      </c>
    </row>
    <row r="452" spans="1:32" x14ac:dyDescent="0.3">
      <c r="A452">
        <v>26</v>
      </c>
      <c r="B452">
        <v>42</v>
      </c>
      <c r="C452">
        <v>146</v>
      </c>
      <c r="D452">
        <f t="shared" ref="D452:D515" si="70">B452/((C452/100)^2)</f>
        <v>19.703509101144682</v>
      </c>
      <c r="E452">
        <f t="shared" ref="E452:E515" si="71">IF(D452&lt;18.5,0,IF(D452&lt;23,1,IF(D452&lt;25,2,3)))</f>
        <v>1</v>
      </c>
      <c r="F452">
        <v>54</v>
      </c>
      <c r="G452">
        <f t="shared" ref="G452:G515" si="72">F452-B452</f>
        <v>12</v>
      </c>
      <c r="H452">
        <v>0</v>
      </c>
      <c r="J452">
        <v>0</v>
      </c>
      <c r="K452">
        <v>0</v>
      </c>
      <c r="L452">
        <v>0</v>
      </c>
      <c r="M452">
        <v>39</v>
      </c>
      <c r="N452">
        <v>6</v>
      </c>
      <c r="O452">
        <f t="shared" ref="O452:O515" si="73">M452+(N452/7)</f>
        <v>39.857142857142854</v>
      </c>
      <c r="P452">
        <v>0</v>
      </c>
      <c r="Q452">
        <v>0</v>
      </c>
      <c r="R452">
        <v>0</v>
      </c>
      <c r="T452">
        <v>0</v>
      </c>
      <c r="U452">
        <v>0</v>
      </c>
      <c r="V452">
        <v>2890</v>
      </c>
      <c r="W452">
        <v>9</v>
      </c>
      <c r="X452">
        <v>1</v>
      </c>
      <c r="Y452">
        <v>0</v>
      </c>
      <c r="AA452">
        <f t="shared" ref="AA452:AA515" si="74">IF(OR(AND(E452=0,G452&gt;18.2),AND(E452=1,G452&gt;15.9),AND(E452=2,G452&gt;11.3),AND(E452=3,G452&gt;9.1)),1,0)</f>
        <v>0</v>
      </c>
      <c r="AB452" t="str">
        <f t="shared" ref="AB452:AB515" si="75">IF(OR(AND(O452&lt;38,V452&gt;3324),AND(O452&lt;39,V452&gt;3540),AND(O452&lt;40,V452&gt;3726),AND(O452&lt;42,V452&gt;3871)),"2",IF(OR(AND(O452&gt;36.9,V452&lt;2323),AND(O452&gt;37.9,V452&lt;2496),AND(O452&gt;38.9,V452&lt;2658),AND(O452&gt;39.9,V452&lt;2805)),"1","0"))</f>
        <v>0</v>
      </c>
      <c r="AC452">
        <f t="shared" ref="AC452:AC515" si="76">IF(V452&lt;4000,0,1)</f>
        <v>0</v>
      </c>
      <c r="AD452">
        <f t="shared" ref="AD452:AD515" si="77">IF(W452&gt;7,0,1)</f>
        <v>0</v>
      </c>
      <c r="AE452">
        <f t="shared" ref="AE452:AE515" si="78">IF(R452=3,1,0)</f>
        <v>0</v>
      </c>
      <c r="AF452">
        <f t="shared" ref="AF452:AF515" si="79">IF(X452=2,1,0)</f>
        <v>0</v>
      </c>
    </row>
    <row r="453" spans="1:32" x14ac:dyDescent="0.3">
      <c r="A453">
        <v>28</v>
      </c>
      <c r="B453">
        <v>76</v>
      </c>
      <c r="C453">
        <v>160</v>
      </c>
      <c r="D453">
        <f t="shared" si="70"/>
        <v>29.687499999999993</v>
      </c>
      <c r="E453">
        <f t="shared" si="71"/>
        <v>3</v>
      </c>
      <c r="F453">
        <v>87</v>
      </c>
      <c r="G453">
        <f t="shared" si="72"/>
        <v>11</v>
      </c>
      <c r="H453">
        <v>1</v>
      </c>
      <c r="I453" t="s">
        <v>32</v>
      </c>
      <c r="J453">
        <v>0</v>
      </c>
      <c r="K453">
        <v>0</v>
      </c>
      <c r="L453">
        <v>2</v>
      </c>
      <c r="M453">
        <v>37</v>
      </c>
      <c r="N453">
        <v>2</v>
      </c>
      <c r="O453">
        <f t="shared" si="73"/>
        <v>37.285714285714285</v>
      </c>
      <c r="P453">
        <v>1</v>
      </c>
      <c r="Q453">
        <v>0</v>
      </c>
      <c r="R453">
        <v>0</v>
      </c>
      <c r="T453">
        <v>2</v>
      </c>
      <c r="U453">
        <v>0</v>
      </c>
      <c r="V453">
        <v>2440</v>
      </c>
      <c r="W453">
        <v>9</v>
      </c>
      <c r="X453">
        <v>1</v>
      </c>
      <c r="Y453">
        <v>0</v>
      </c>
      <c r="AA453">
        <f t="shared" si="74"/>
        <v>1</v>
      </c>
      <c r="AB453" t="str">
        <f t="shared" si="75"/>
        <v>0</v>
      </c>
      <c r="AC453">
        <f t="shared" si="76"/>
        <v>0</v>
      </c>
      <c r="AD453">
        <f t="shared" si="77"/>
        <v>0</v>
      </c>
      <c r="AE453">
        <f t="shared" si="78"/>
        <v>0</v>
      </c>
      <c r="AF453">
        <f t="shared" si="79"/>
        <v>0</v>
      </c>
    </row>
    <row r="454" spans="1:32" x14ac:dyDescent="0.3">
      <c r="A454">
        <v>35</v>
      </c>
      <c r="B454">
        <v>49</v>
      </c>
      <c r="C454">
        <v>155</v>
      </c>
      <c r="D454">
        <f t="shared" si="70"/>
        <v>20.39542143600416</v>
      </c>
      <c r="E454">
        <f t="shared" si="71"/>
        <v>1</v>
      </c>
      <c r="F454">
        <v>60</v>
      </c>
      <c r="G454">
        <f t="shared" si="72"/>
        <v>11</v>
      </c>
      <c r="H454">
        <v>0</v>
      </c>
      <c r="J454">
        <v>0</v>
      </c>
      <c r="K454">
        <v>0</v>
      </c>
      <c r="L454">
        <v>1</v>
      </c>
      <c r="M454">
        <v>38</v>
      </c>
      <c r="N454">
        <v>3</v>
      </c>
      <c r="O454">
        <f t="shared" si="73"/>
        <v>38.428571428571431</v>
      </c>
      <c r="P454">
        <v>0</v>
      </c>
      <c r="Q454">
        <v>0</v>
      </c>
      <c r="R454">
        <v>0</v>
      </c>
      <c r="T454">
        <v>0</v>
      </c>
      <c r="U454">
        <v>0</v>
      </c>
      <c r="V454">
        <v>3150</v>
      </c>
      <c r="W454">
        <v>10</v>
      </c>
      <c r="X454">
        <v>1</v>
      </c>
      <c r="Y454">
        <v>0</v>
      </c>
      <c r="AA454">
        <f t="shared" si="74"/>
        <v>0</v>
      </c>
      <c r="AB454" t="str">
        <f t="shared" si="75"/>
        <v>0</v>
      </c>
      <c r="AC454">
        <f t="shared" si="76"/>
        <v>0</v>
      </c>
      <c r="AD454">
        <f t="shared" si="77"/>
        <v>0</v>
      </c>
      <c r="AE454">
        <f t="shared" si="78"/>
        <v>0</v>
      </c>
      <c r="AF454">
        <f t="shared" si="79"/>
        <v>0</v>
      </c>
    </row>
    <row r="455" spans="1:32" x14ac:dyDescent="0.3">
      <c r="A455">
        <v>23</v>
      </c>
      <c r="B455">
        <v>46</v>
      </c>
      <c r="C455">
        <v>159</v>
      </c>
      <c r="D455">
        <f t="shared" si="70"/>
        <v>18.195482773624459</v>
      </c>
      <c r="E455">
        <f t="shared" si="71"/>
        <v>0</v>
      </c>
      <c r="F455">
        <v>51</v>
      </c>
      <c r="G455">
        <f t="shared" si="72"/>
        <v>5</v>
      </c>
      <c r="H455">
        <v>0</v>
      </c>
      <c r="J455">
        <v>0</v>
      </c>
      <c r="K455">
        <v>0</v>
      </c>
      <c r="L455">
        <v>1</v>
      </c>
      <c r="M455">
        <v>38</v>
      </c>
      <c r="N455">
        <v>2</v>
      </c>
      <c r="O455">
        <f t="shared" si="73"/>
        <v>38.285714285714285</v>
      </c>
      <c r="P455">
        <v>0</v>
      </c>
      <c r="Q455">
        <v>0</v>
      </c>
      <c r="R455">
        <v>0</v>
      </c>
      <c r="T455">
        <v>0</v>
      </c>
      <c r="U455">
        <v>0</v>
      </c>
      <c r="V455">
        <v>2950</v>
      </c>
      <c r="W455">
        <v>9</v>
      </c>
      <c r="X455">
        <v>0</v>
      </c>
      <c r="Y455">
        <v>0</v>
      </c>
      <c r="AA455">
        <f t="shared" si="74"/>
        <v>0</v>
      </c>
      <c r="AB455" t="str">
        <f t="shared" si="75"/>
        <v>0</v>
      </c>
      <c r="AC455">
        <f t="shared" si="76"/>
        <v>0</v>
      </c>
      <c r="AD455">
        <f t="shared" si="77"/>
        <v>0</v>
      </c>
      <c r="AE455">
        <f t="shared" si="78"/>
        <v>0</v>
      </c>
      <c r="AF455">
        <f t="shared" si="79"/>
        <v>0</v>
      </c>
    </row>
    <row r="456" spans="1:32" x14ac:dyDescent="0.3">
      <c r="A456">
        <v>37</v>
      </c>
      <c r="B456">
        <v>58</v>
      </c>
      <c r="C456">
        <v>155</v>
      </c>
      <c r="D456">
        <f t="shared" si="70"/>
        <v>24.141519250780433</v>
      </c>
      <c r="E456">
        <f t="shared" si="71"/>
        <v>2</v>
      </c>
      <c r="F456">
        <v>72</v>
      </c>
      <c r="G456">
        <f t="shared" si="72"/>
        <v>14</v>
      </c>
      <c r="H456">
        <v>0</v>
      </c>
      <c r="J456">
        <v>0</v>
      </c>
      <c r="K456">
        <v>0</v>
      </c>
      <c r="L456">
        <v>0</v>
      </c>
      <c r="M456">
        <v>38</v>
      </c>
      <c r="N456">
        <v>4</v>
      </c>
      <c r="O456">
        <f t="shared" si="73"/>
        <v>38.571428571428569</v>
      </c>
      <c r="P456">
        <v>0</v>
      </c>
      <c r="Q456">
        <v>0</v>
      </c>
      <c r="R456">
        <v>3</v>
      </c>
      <c r="S456" t="s">
        <v>35</v>
      </c>
      <c r="T456">
        <v>0</v>
      </c>
      <c r="U456">
        <v>0</v>
      </c>
      <c r="V456">
        <v>2990</v>
      </c>
      <c r="W456">
        <v>9</v>
      </c>
      <c r="X456">
        <v>1</v>
      </c>
      <c r="Y456">
        <v>0</v>
      </c>
      <c r="AA456">
        <f t="shared" si="74"/>
        <v>1</v>
      </c>
      <c r="AB456" t="str">
        <f t="shared" si="75"/>
        <v>0</v>
      </c>
      <c r="AC456">
        <f t="shared" si="76"/>
        <v>0</v>
      </c>
      <c r="AD456">
        <f t="shared" si="77"/>
        <v>0</v>
      </c>
      <c r="AE456">
        <f t="shared" si="78"/>
        <v>1</v>
      </c>
      <c r="AF456">
        <f t="shared" si="79"/>
        <v>0</v>
      </c>
    </row>
    <row r="457" spans="1:32" x14ac:dyDescent="0.3">
      <c r="A457">
        <v>17</v>
      </c>
      <c r="B457">
        <v>70</v>
      </c>
      <c r="C457">
        <v>150</v>
      </c>
      <c r="D457">
        <f t="shared" si="70"/>
        <v>31.111111111111111</v>
      </c>
      <c r="E457">
        <f t="shared" si="71"/>
        <v>3</v>
      </c>
      <c r="F457">
        <v>91</v>
      </c>
      <c r="G457">
        <f t="shared" si="72"/>
        <v>21</v>
      </c>
      <c r="H457">
        <v>1</v>
      </c>
      <c r="I457" t="s">
        <v>32</v>
      </c>
      <c r="J457">
        <v>0</v>
      </c>
      <c r="K457">
        <v>0</v>
      </c>
      <c r="L457">
        <v>1</v>
      </c>
      <c r="M457">
        <v>38</v>
      </c>
      <c r="N457">
        <v>2</v>
      </c>
      <c r="O457">
        <f t="shared" si="73"/>
        <v>38.285714285714285</v>
      </c>
      <c r="P457">
        <v>0</v>
      </c>
      <c r="Q457">
        <v>0</v>
      </c>
      <c r="R457">
        <v>0</v>
      </c>
      <c r="T457">
        <v>0</v>
      </c>
      <c r="U457">
        <v>0</v>
      </c>
      <c r="V457">
        <v>3290</v>
      </c>
      <c r="W457">
        <v>10</v>
      </c>
      <c r="X457">
        <v>1</v>
      </c>
      <c r="Y457">
        <v>0</v>
      </c>
      <c r="AA457">
        <f t="shared" si="74"/>
        <v>1</v>
      </c>
      <c r="AB457" t="str">
        <f t="shared" si="75"/>
        <v>0</v>
      </c>
      <c r="AC457">
        <f t="shared" si="76"/>
        <v>0</v>
      </c>
      <c r="AD457">
        <f t="shared" si="77"/>
        <v>0</v>
      </c>
      <c r="AE457">
        <f t="shared" si="78"/>
        <v>0</v>
      </c>
      <c r="AF457">
        <f t="shared" si="79"/>
        <v>0</v>
      </c>
    </row>
    <row r="458" spans="1:32" x14ac:dyDescent="0.3">
      <c r="A458">
        <v>18</v>
      </c>
      <c r="B458">
        <v>58</v>
      </c>
      <c r="C458">
        <v>162</v>
      </c>
      <c r="D458">
        <f t="shared" si="70"/>
        <v>22.10028959000152</v>
      </c>
      <c r="E458">
        <f t="shared" si="71"/>
        <v>1</v>
      </c>
      <c r="F458">
        <v>69</v>
      </c>
      <c r="G458">
        <f t="shared" si="72"/>
        <v>11</v>
      </c>
      <c r="H458">
        <v>0</v>
      </c>
      <c r="J458">
        <v>0</v>
      </c>
      <c r="K458">
        <v>0</v>
      </c>
      <c r="L458">
        <v>1</v>
      </c>
      <c r="M458">
        <v>39</v>
      </c>
      <c r="N458">
        <v>4</v>
      </c>
      <c r="O458">
        <f t="shared" si="73"/>
        <v>39.571428571428569</v>
      </c>
      <c r="P458">
        <v>0</v>
      </c>
      <c r="Q458">
        <v>0</v>
      </c>
      <c r="R458">
        <v>0</v>
      </c>
      <c r="T458">
        <v>2</v>
      </c>
      <c r="U458">
        <v>0</v>
      </c>
      <c r="V458">
        <v>3930</v>
      </c>
      <c r="W458">
        <v>9</v>
      </c>
      <c r="X458">
        <v>0</v>
      </c>
      <c r="Y458">
        <v>0</v>
      </c>
      <c r="AA458">
        <f t="shared" si="74"/>
        <v>0</v>
      </c>
      <c r="AB458" t="str">
        <f t="shared" si="75"/>
        <v>2</v>
      </c>
      <c r="AC458">
        <f t="shared" si="76"/>
        <v>0</v>
      </c>
      <c r="AD458">
        <f t="shared" si="77"/>
        <v>0</v>
      </c>
      <c r="AE458">
        <f t="shared" si="78"/>
        <v>0</v>
      </c>
      <c r="AF458">
        <f t="shared" si="79"/>
        <v>0</v>
      </c>
    </row>
    <row r="459" spans="1:32" x14ac:dyDescent="0.3">
      <c r="A459">
        <v>34</v>
      </c>
      <c r="B459">
        <v>70</v>
      </c>
      <c r="C459">
        <v>165</v>
      </c>
      <c r="D459">
        <f t="shared" si="70"/>
        <v>25.711662075298442</v>
      </c>
      <c r="E459">
        <f t="shared" si="71"/>
        <v>3</v>
      </c>
      <c r="F459">
        <v>87</v>
      </c>
      <c r="G459">
        <f t="shared" si="72"/>
        <v>17</v>
      </c>
      <c r="H459">
        <v>0</v>
      </c>
      <c r="J459">
        <v>0</v>
      </c>
      <c r="K459">
        <v>1</v>
      </c>
      <c r="L459">
        <v>1</v>
      </c>
      <c r="M459">
        <v>38</v>
      </c>
      <c r="N459">
        <v>5</v>
      </c>
      <c r="O459">
        <f t="shared" si="73"/>
        <v>38.714285714285715</v>
      </c>
      <c r="P459">
        <v>0</v>
      </c>
      <c r="Q459">
        <v>1</v>
      </c>
      <c r="R459">
        <v>3</v>
      </c>
      <c r="S459" t="s">
        <v>34</v>
      </c>
      <c r="T459">
        <v>0</v>
      </c>
      <c r="U459">
        <v>0</v>
      </c>
      <c r="V459">
        <v>3550</v>
      </c>
      <c r="W459">
        <v>9</v>
      </c>
      <c r="X459">
        <v>1</v>
      </c>
      <c r="Y459">
        <v>0</v>
      </c>
      <c r="AA459">
        <f t="shared" si="74"/>
        <v>1</v>
      </c>
      <c r="AB459" t="str">
        <f t="shared" si="75"/>
        <v>2</v>
      </c>
      <c r="AC459">
        <f t="shared" si="76"/>
        <v>0</v>
      </c>
      <c r="AD459">
        <f t="shared" si="77"/>
        <v>0</v>
      </c>
      <c r="AE459">
        <f t="shared" si="78"/>
        <v>1</v>
      </c>
      <c r="AF459">
        <f t="shared" si="79"/>
        <v>0</v>
      </c>
    </row>
    <row r="460" spans="1:32" x14ac:dyDescent="0.3">
      <c r="A460">
        <v>26</v>
      </c>
      <c r="B460">
        <v>44</v>
      </c>
      <c r="C460">
        <v>153</v>
      </c>
      <c r="D460">
        <f t="shared" si="70"/>
        <v>18.796189499765049</v>
      </c>
      <c r="E460">
        <f t="shared" si="71"/>
        <v>1</v>
      </c>
      <c r="F460">
        <v>60</v>
      </c>
      <c r="G460">
        <f t="shared" si="72"/>
        <v>16</v>
      </c>
      <c r="H460">
        <v>0</v>
      </c>
      <c r="J460">
        <v>0</v>
      </c>
      <c r="K460">
        <v>0</v>
      </c>
      <c r="L460">
        <v>1</v>
      </c>
      <c r="M460">
        <v>39</v>
      </c>
      <c r="N460">
        <v>4</v>
      </c>
      <c r="O460">
        <f t="shared" si="73"/>
        <v>39.571428571428569</v>
      </c>
      <c r="P460">
        <v>0</v>
      </c>
      <c r="Q460">
        <v>0</v>
      </c>
      <c r="R460">
        <v>0</v>
      </c>
      <c r="T460">
        <v>0</v>
      </c>
      <c r="U460">
        <v>0</v>
      </c>
      <c r="V460">
        <v>3060</v>
      </c>
      <c r="W460">
        <v>9</v>
      </c>
      <c r="X460">
        <v>1</v>
      </c>
      <c r="Y460">
        <v>0</v>
      </c>
      <c r="AA460">
        <f t="shared" si="74"/>
        <v>1</v>
      </c>
      <c r="AB460" t="str">
        <f t="shared" si="75"/>
        <v>0</v>
      </c>
      <c r="AC460">
        <f t="shared" si="76"/>
        <v>0</v>
      </c>
      <c r="AD460">
        <f t="shared" si="77"/>
        <v>0</v>
      </c>
      <c r="AE460">
        <f t="shared" si="78"/>
        <v>0</v>
      </c>
      <c r="AF460">
        <f t="shared" si="79"/>
        <v>0</v>
      </c>
    </row>
    <row r="461" spans="1:32" x14ac:dyDescent="0.3">
      <c r="A461">
        <v>32</v>
      </c>
      <c r="B461">
        <v>50</v>
      </c>
      <c r="C461">
        <v>155</v>
      </c>
      <c r="D461">
        <f t="shared" si="70"/>
        <v>20.811654526534856</v>
      </c>
      <c r="E461">
        <f t="shared" si="71"/>
        <v>1</v>
      </c>
      <c r="F461">
        <v>62</v>
      </c>
      <c r="G461">
        <f t="shared" si="72"/>
        <v>12</v>
      </c>
      <c r="H461">
        <v>0</v>
      </c>
      <c r="J461">
        <v>0</v>
      </c>
      <c r="K461">
        <v>0</v>
      </c>
      <c r="L461">
        <v>2</v>
      </c>
      <c r="M461">
        <v>39</v>
      </c>
      <c r="N461">
        <v>2</v>
      </c>
      <c r="O461">
        <f t="shared" si="73"/>
        <v>39.285714285714285</v>
      </c>
      <c r="P461">
        <v>0</v>
      </c>
      <c r="Q461">
        <v>0</v>
      </c>
      <c r="R461">
        <v>0</v>
      </c>
      <c r="T461">
        <v>0</v>
      </c>
      <c r="U461">
        <v>0</v>
      </c>
      <c r="V461">
        <v>2950</v>
      </c>
      <c r="W461">
        <v>9</v>
      </c>
      <c r="X461">
        <v>0</v>
      </c>
      <c r="Y461">
        <v>0</v>
      </c>
      <c r="AA461">
        <f t="shared" si="74"/>
        <v>0</v>
      </c>
      <c r="AB461" t="str">
        <f t="shared" si="75"/>
        <v>0</v>
      </c>
      <c r="AC461">
        <f t="shared" si="76"/>
        <v>0</v>
      </c>
      <c r="AD461">
        <f t="shared" si="77"/>
        <v>0</v>
      </c>
      <c r="AE461">
        <f t="shared" si="78"/>
        <v>0</v>
      </c>
      <c r="AF461">
        <f t="shared" si="79"/>
        <v>0</v>
      </c>
    </row>
    <row r="462" spans="1:32" x14ac:dyDescent="0.3">
      <c r="A462">
        <v>21</v>
      </c>
      <c r="B462">
        <v>62</v>
      </c>
      <c r="C462">
        <v>152</v>
      </c>
      <c r="D462">
        <f t="shared" si="70"/>
        <v>26.835180055401661</v>
      </c>
      <c r="E462">
        <f t="shared" si="71"/>
        <v>3</v>
      </c>
      <c r="F462">
        <v>52</v>
      </c>
      <c r="G462">
        <f t="shared" si="72"/>
        <v>-10</v>
      </c>
      <c r="H462">
        <v>0</v>
      </c>
      <c r="J462">
        <v>0</v>
      </c>
      <c r="K462">
        <v>1</v>
      </c>
      <c r="L462">
        <v>1</v>
      </c>
      <c r="M462">
        <v>39</v>
      </c>
      <c r="N462">
        <v>2</v>
      </c>
      <c r="O462">
        <f t="shared" si="73"/>
        <v>39.285714285714285</v>
      </c>
      <c r="P462">
        <v>0</v>
      </c>
      <c r="Q462">
        <v>0</v>
      </c>
      <c r="R462">
        <v>3</v>
      </c>
      <c r="S462" t="s">
        <v>34</v>
      </c>
      <c r="T462">
        <v>0</v>
      </c>
      <c r="U462">
        <v>0</v>
      </c>
      <c r="V462">
        <v>2490</v>
      </c>
      <c r="W462">
        <v>9</v>
      </c>
      <c r="X462">
        <v>1</v>
      </c>
      <c r="Y462">
        <v>0</v>
      </c>
      <c r="AA462">
        <f t="shared" si="74"/>
        <v>0</v>
      </c>
      <c r="AB462" t="str">
        <f t="shared" si="75"/>
        <v>1</v>
      </c>
      <c r="AC462">
        <f t="shared" si="76"/>
        <v>0</v>
      </c>
      <c r="AD462">
        <f t="shared" si="77"/>
        <v>0</v>
      </c>
      <c r="AE462">
        <f t="shared" si="78"/>
        <v>1</v>
      </c>
      <c r="AF462">
        <f t="shared" si="79"/>
        <v>0</v>
      </c>
    </row>
    <row r="463" spans="1:32" x14ac:dyDescent="0.3">
      <c r="A463">
        <v>40</v>
      </c>
      <c r="B463">
        <v>48</v>
      </c>
      <c r="C463">
        <v>152</v>
      </c>
      <c r="D463">
        <f t="shared" si="70"/>
        <v>20.775623268698062</v>
      </c>
      <c r="E463">
        <f t="shared" si="71"/>
        <v>1</v>
      </c>
      <c r="F463">
        <v>62</v>
      </c>
      <c r="G463">
        <f t="shared" si="72"/>
        <v>14</v>
      </c>
      <c r="H463">
        <v>0</v>
      </c>
      <c r="J463">
        <v>0</v>
      </c>
      <c r="K463">
        <v>0</v>
      </c>
      <c r="L463">
        <v>1</v>
      </c>
      <c r="M463">
        <v>38</v>
      </c>
      <c r="N463">
        <v>0</v>
      </c>
      <c r="O463">
        <f t="shared" si="73"/>
        <v>38</v>
      </c>
      <c r="P463">
        <v>0</v>
      </c>
      <c r="Q463">
        <v>0</v>
      </c>
      <c r="R463">
        <v>0</v>
      </c>
      <c r="T463">
        <v>0</v>
      </c>
      <c r="U463">
        <v>0</v>
      </c>
      <c r="V463">
        <v>2060</v>
      </c>
      <c r="W463">
        <v>9</v>
      </c>
      <c r="X463">
        <v>1</v>
      </c>
      <c r="Y463">
        <v>0</v>
      </c>
      <c r="AA463">
        <f t="shared" si="74"/>
        <v>0</v>
      </c>
      <c r="AB463" t="str">
        <f t="shared" si="75"/>
        <v>1</v>
      </c>
      <c r="AC463">
        <f t="shared" si="76"/>
        <v>0</v>
      </c>
      <c r="AD463">
        <f t="shared" si="77"/>
        <v>0</v>
      </c>
      <c r="AE463">
        <f t="shared" si="78"/>
        <v>0</v>
      </c>
      <c r="AF463">
        <f t="shared" si="79"/>
        <v>0</v>
      </c>
    </row>
    <row r="464" spans="1:32" x14ac:dyDescent="0.3">
      <c r="A464">
        <v>25</v>
      </c>
      <c r="B464">
        <v>46</v>
      </c>
      <c r="C464">
        <v>155</v>
      </c>
      <c r="D464">
        <f t="shared" si="70"/>
        <v>19.146722164412068</v>
      </c>
      <c r="E464">
        <f t="shared" si="71"/>
        <v>1</v>
      </c>
      <c r="F464">
        <v>65</v>
      </c>
      <c r="G464">
        <f t="shared" si="72"/>
        <v>19</v>
      </c>
      <c r="H464">
        <v>0</v>
      </c>
      <c r="J464">
        <v>0</v>
      </c>
      <c r="K464">
        <v>0</v>
      </c>
      <c r="L464">
        <v>1</v>
      </c>
      <c r="M464">
        <v>38</v>
      </c>
      <c r="N464">
        <v>6</v>
      </c>
      <c r="O464">
        <f t="shared" si="73"/>
        <v>38.857142857142854</v>
      </c>
      <c r="P464">
        <v>0</v>
      </c>
      <c r="Q464">
        <v>0</v>
      </c>
      <c r="R464">
        <v>0</v>
      </c>
      <c r="T464">
        <v>0</v>
      </c>
      <c r="U464">
        <v>0</v>
      </c>
      <c r="V464">
        <v>3570</v>
      </c>
      <c r="W464">
        <v>9</v>
      </c>
      <c r="X464">
        <v>0</v>
      </c>
      <c r="Y464">
        <v>0</v>
      </c>
      <c r="AA464">
        <f t="shared" si="74"/>
        <v>1</v>
      </c>
      <c r="AB464" t="str">
        <f t="shared" si="75"/>
        <v>2</v>
      </c>
      <c r="AC464">
        <f t="shared" si="76"/>
        <v>0</v>
      </c>
      <c r="AD464">
        <f t="shared" si="77"/>
        <v>0</v>
      </c>
      <c r="AE464">
        <f t="shared" si="78"/>
        <v>0</v>
      </c>
      <c r="AF464">
        <f t="shared" si="79"/>
        <v>0</v>
      </c>
    </row>
    <row r="465" spans="1:32" x14ac:dyDescent="0.3">
      <c r="A465">
        <v>22</v>
      </c>
      <c r="B465">
        <v>50</v>
      </c>
      <c r="C465">
        <v>155</v>
      </c>
      <c r="D465">
        <f t="shared" si="70"/>
        <v>20.811654526534856</v>
      </c>
      <c r="E465">
        <f t="shared" si="71"/>
        <v>1</v>
      </c>
      <c r="F465">
        <v>65</v>
      </c>
      <c r="G465">
        <f t="shared" si="72"/>
        <v>15</v>
      </c>
      <c r="H465">
        <v>0</v>
      </c>
      <c r="J465">
        <v>0</v>
      </c>
      <c r="K465">
        <v>1</v>
      </c>
      <c r="L465">
        <v>1</v>
      </c>
      <c r="M465">
        <v>39</v>
      </c>
      <c r="N465">
        <v>0</v>
      </c>
      <c r="O465">
        <f t="shared" si="73"/>
        <v>39</v>
      </c>
      <c r="P465">
        <v>0</v>
      </c>
      <c r="Q465">
        <v>0</v>
      </c>
      <c r="R465">
        <v>3</v>
      </c>
      <c r="S465" t="s">
        <v>34</v>
      </c>
      <c r="T465">
        <v>0</v>
      </c>
      <c r="U465">
        <v>0</v>
      </c>
      <c r="V465">
        <v>3310</v>
      </c>
      <c r="W465">
        <v>7</v>
      </c>
      <c r="X465">
        <v>1</v>
      </c>
      <c r="Y465">
        <v>0</v>
      </c>
      <c r="AA465">
        <f t="shared" si="74"/>
        <v>0</v>
      </c>
      <c r="AB465" t="str">
        <f t="shared" si="75"/>
        <v>0</v>
      </c>
      <c r="AC465">
        <f t="shared" si="76"/>
        <v>0</v>
      </c>
      <c r="AD465">
        <f t="shared" si="77"/>
        <v>1</v>
      </c>
      <c r="AE465">
        <f t="shared" si="78"/>
        <v>1</v>
      </c>
      <c r="AF465">
        <f t="shared" si="79"/>
        <v>0</v>
      </c>
    </row>
    <row r="466" spans="1:32" x14ac:dyDescent="0.3">
      <c r="A466">
        <v>30</v>
      </c>
      <c r="B466">
        <v>79</v>
      </c>
      <c r="C466">
        <v>164</v>
      </c>
      <c r="D466">
        <f t="shared" si="70"/>
        <v>29.372397382510414</v>
      </c>
      <c r="E466">
        <f t="shared" si="71"/>
        <v>3</v>
      </c>
      <c r="F466">
        <v>89</v>
      </c>
      <c r="G466">
        <f t="shared" si="72"/>
        <v>10</v>
      </c>
      <c r="H466">
        <v>1</v>
      </c>
      <c r="I466" t="s">
        <v>32</v>
      </c>
      <c r="J466">
        <v>0</v>
      </c>
      <c r="K466">
        <v>0</v>
      </c>
      <c r="L466">
        <v>0</v>
      </c>
      <c r="M466">
        <v>39</v>
      </c>
      <c r="N466">
        <v>5</v>
      </c>
      <c r="O466">
        <f t="shared" si="73"/>
        <v>39.714285714285715</v>
      </c>
      <c r="P466">
        <v>0</v>
      </c>
      <c r="Q466">
        <v>0</v>
      </c>
      <c r="R466">
        <v>3</v>
      </c>
      <c r="S466" t="s">
        <v>35</v>
      </c>
      <c r="T466">
        <v>0</v>
      </c>
      <c r="U466">
        <v>0</v>
      </c>
      <c r="V466">
        <v>2890</v>
      </c>
      <c r="W466">
        <v>9</v>
      </c>
      <c r="X466">
        <v>1</v>
      </c>
      <c r="Y466">
        <v>0</v>
      </c>
      <c r="AA466">
        <f t="shared" si="74"/>
        <v>1</v>
      </c>
      <c r="AB466" t="str">
        <f t="shared" si="75"/>
        <v>0</v>
      </c>
      <c r="AC466">
        <f t="shared" si="76"/>
        <v>0</v>
      </c>
      <c r="AD466">
        <f t="shared" si="77"/>
        <v>0</v>
      </c>
      <c r="AE466">
        <f t="shared" si="78"/>
        <v>1</v>
      </c>
      <c r="AF466">
        <f t="shared" si="79"/>
        <v>0</v>
      </c>
    </row>
    <row r="467" spans="1:32" x14ac:dyDescent="0.3">
      <c r="A467">
        <v>26</v>
      </c>
      <c r="B467">
        <v>51</v>
      </c>
      <c r="C467">
        <v>175</v>
      </c>
      <c r="D467">
        <f t="shared" si="70"/>
        <v>16.653061224489797</v>
      </c>
      <c r="E467">
        <f t="shared" si="71"/>
        <v>0</v>
      </c>
      <c r="F467">
        <v>60</v>
      </c>
      <c r="G467">
        <f t="shared" si="72"/>
        <v>9</v>
      </c>
      <c r="H467">
        <v>0</v>
      </c>
      <c r="J467">
        <v>0</v>
      </c>
      <c r="K467">
        <v>1</v>
      </c>
      <c r="L467">
        <v>1</v>
      </c>
      <c r="M467">
        <v>37</v>
      </c>
      <c r="N467">
        <v>3</v>
      </c>
      <c r="O467">
        <f t="shared" si="73"/>
        <v>37.428571428571431</v>
      </c>
      <c r="P467">
        <v>0</v>
      </c>
      <c r="Q467">
        <v>0</v>
      </c>
      <c r="R467">
        <v>3</v>
      </c>
      <c r="S467" t="s">
        <v>34</v>
      </c>
      <c r="T467">
        <v>0</v>
      </c>
      <c r="U467">
        <v>0</v>
      </c>
      <c r="V467">
        <v>3120</v>
      </c>
      <c r="W467">
        <v>9</v>
      </c>
      <c r="X467">
        <v>1</v>
      </c>
      <c r="Y467">
        <v>0</v>
      </c>
      <c r="AA467">
        <f t="shared" si="74"/>
        <v>0</v>
      </c>
      <c r="AB467" t="str">
        <f t="shared" si="75"/>
        <v>0</v>
      </c>
      <c r="AC467">
        <f t="shared" si="76"/>
        <v>0</v>
      </c>
      <c r="AD467">
        <f t="shared" si="77"/>
        <v>0</v>
      </c>
      <c r="AE467">
        <f t="shared" si="78"/>
        <v>1</v>
      </c>
      <c r="AF467">
        <f t="shared" si="79"/>
        <v>0</v>
      </c>
    </row>
    <row r="468" spans="1:32" x14ac:dyDescent="0.3">
      <c r="A468">
        <v>37</v>
      </c>
      <c r="B468">
        <v>53</v>
      </c>
      <c r="C468">
        <v>155</v>
      </c>
      <c r="D468">
        <f t="shared" si="70"/>
        <v>22.060353798126947</v>
      </c>
      <c r="E468">
        <f t="shared" si="71"/>
        <v>1</v>
      </c>
      <c r="F468">
        <v>68</v>
      </c>
      <c r="G468">
        <f t="shared" si="72"/>
        <v>15</v>
      </c>
      <c r="H468">
        <v>1</v>
      </c>
      <c r="I468" t="s">
        <v>52</v>
      </c>
      <c r="J468">
        <v>0</v>
      </c>
      <c r="K468">
        <v>0</v>
      </c>
      <c r="L468">
        <v>0</v>
      </c>
      <c r="M468">
        <v>40</v>
      </c>
      <c r="N468">
        <v>6</v>
      </c>
      <c r="O468">
        <f t="shared" si="73"/>
        <v>40.857142857142854</v>
      </c>
      <c r="P468">
        <v>1</v>
      </c>
      <c r="Q468">
        <v>0</v>
      </c>
      <c r="R468">
        <v>3</v>
      </c>
      <c r="S468" t="s">
        <v>43</v>
      </c>
      <c r="T468">
        <v>0</v>
      </c>
      <c r="U468">
        <v>0</v>
      </c>
      <c r="V468">
        <v>3890</v>
      </c>
      <c r="W468">
        <v>9</v>
      </c>
      <c r="X468">
        <v>1</v>
      </c>
      <c r="Y468">
        <v>0</v>
      </c>
      <c r="AA468">
        <f t="shared" si="74"/>
        <v>0</v>
      </c>
      <c r="AB468" t="str">
        <f t="shared" si="75"/>
        <v>2</v>
      </c>
      <c r="AC468">
        <f t="shared" si="76"/>
        <v>0</v>
      </c>
      <c r="AD468">
        <f t="shared" si="77"/>
        <v>0</v>
      </c>
      <c r="AE468">
        <f t="shared" si="78"/>
        <v>1</v>
      </c>
      <c r="AF468">
        <f t="shared" si="79"/>
        <v>0</v>
      </c>
    </row>
    <row r="469" spans="1:32" x14ac:dyDescent="0.3">
      <c r="A469">
        <v>32</v>
      </c>
      <c r="B469">
        <v>58</v>
      </c>
      <c r="C469">
        <v>160</v>
      </c>
      <c r="D469">
        <f t="shared" si="70"/>
        <v>22.656249999999996</v>
      </c>
      <c r="E469">
        <f t="shared" si="71"/>
        <v>1</v>
      </c>
      <c r="F469">
        <v>73</v>
      </c>
      <c r="G469">
        <f t="shared" si="72"/>
        <v>15</v>
      </c>
      <c r="H469">
        <v>0</v>
      </c>
      <c r="J469">
        <v>0</v>
      </c>
      <c r="K469">
        <v>0</v>
      </c>
      <c r="L469">
        <v>1</v>
      </c>
      <c r="M469">
        <v>39</v>
      </c>
      <c r="N469">
        <v>5</v>
      </c>
      <c r="O469">
        <f t="shared" si="73"/>
        <v>39.714285714285715</v>
      </c>
      <c r="P469">
        <v>1</v>
      </c>
      <c r="Q469">
        <v>0</v>
      </c>
      <c r="R469">
        <v>0</v>
      </c>
      <c r="T469">
        <v>0</v>
      </c>
      <c r="U469">
        <v>0</v>
      </c>
      <c r="V469">
        <v>3740</v>
      </c>
      <c r="W469">
        <v>9</v>
      </c>
      <c r="X469">
        <v>1</v>
      </c>
      <c r="Y469">
        <v>1</v>
      </c>
      <c r="Z469" t="s">
        <v>64</v>
      </c>
      <c r="AA469">
        <f t="shared" si="74"/>
        <v>0</v>
      </c>
      <c r="AB469" t="str">
        <f t="shared" si="75"/>
        <v>2</v>
      </c>
      <c r="AC469">
        <f t="shared" si="76"/>
        <v>0</v>
      </c>
      <c r="AD469">
        <f t="shared" si="77"/>
        <v>0</v>
      </c>
      <c r="AE469">
        <f t="shared" si="78"/>
        <v>0</v>
      </c>
      <c r="AF469">
        <f t="shared" si="79"/>
        <v>0</v>
      </c>
    </row>
    <row r="470" spans="1:32" x14ac:dyDescent="0.3">
      <c r="A470">
        <v>29</v>
      </c>
      <c r="B470">
        <v>74</v>
      </c>
      <c r="C470">
        <v>155</v>
      </c>
      <c r="D470">
        <f t="shared" si="70"/>
        <v>30.801248699271589</v>
      </c>
      <c r="E470">
        <f t="shared" si="71"/>
        <v>3</v>
      </c>
      <c r="F470">
        <v>83</v>
      </c>
      <c r="G470">
        <f t="shared" si="72"/>
        <v>9</v>
      </c>
      <c r="H470">
        <v>1</v>
      </c>
      <c r="I470" t="s">
        <v>32</v>
      </c>
      <c r="J470">
        <v>1</v>
      </c>
      <c r="K470">
        <v>1</v>
      </c>
      <c r="L470">
        <v>1</v>
      </c>
      <c r="M470">
        <v>39</v>
      </c>
      <c r="N470">
        <v>1</v>
      </c>
      <c r="O470">
        <f t="shared" si="73"/>
        <v>39.142857142857146</v>
      </c>
      <c r="P470">
        <v>0</v>
      </c>
      <c r="Q470">
        <v>0</v>
      </c>
      <c r="R470">
        <v>3</v>
      </c>
      <c r="S470" t="s">
        <v>34</v>
      </c>
      <c r="T470">
        <v>0</v>
      </c>
      <c r="U470">
        <v>0</v>
      </c>
      <c r="V470">
        <v>2980</v>
      </c>
      <c r="W470">
        <v>9</v>
      </c>
      <c r="X470">
        <v>1</v>
      </c>
      <c r="Y470">
        <v>0</v>
      </c>
      <c r="AA470">
        <f t="shared" si="74"/>
        <v>0</v>
      </c>
      <c r="AB470" t="str">
        <f t="shared" si="75"/>
        <v>0</v>
      </c>
      <c r="AC470">
        <f t="shared" si="76"/>
        <v>0</v>
      </c>
      <c r="AD470">
        <f t="shared" si="77"/>
        <v>0</v>
      </c>
      <c r="AE470">
        <f t="shared" si="78"/>
        <v>1</v>
      </c>
      <c r="AF470">
        <f t="shared" si="79"/>
        <v>0</v>
      </c>
    </row>
    <row r="471" spans="1:32" x14ac:dyDescent="0.3">
      <c r="A471">
        <v>38</v>
      </c>
      <c r="B471">
        <v>64</v>
      </c>
      <c r="C471">
        <v>160</v>
      </c>
      <c r="D471">
        <f t="shared" si="70"/>
        <v>24.999999999999996</v>
      </c>
      <c r="E471">
        <f t="shared" si="71"/>
        <v>3</v>
      </c>
      <c r="F471">
        <v>78</v>
      </c>
      <c r="G471">
        <f t="shared" si="72"/>
        <v>14</v>
      </c>
      <c r="H471">
        <v>1</v>
      </c>
      <c r="I471" t="s">
        <v>32</v>
      </c>
      <c r="J471">
        <v>0</v>
      </c>
      <c r="K471">
        <v>1</v>
      </c>
      <c r="L471">
        <v>2</v>
      </c>
      <c r="M471">
        <v>38</v>
      </c>
      <c r="N471">
        <v>6</v>
      </c>
      <c r="O471">
        <f t="shared" si="73"/>
        <v>38.857142857142854</v>
      </c>
      <c r="P471">
        <v>1</v>
      </c>
      <c r="Q471">
        <v>0</v>
      </c>
      <c r="R471">
        <v>3</v>
      </c>
      <c r="S471" t="s">
        <v>34</v>
      </c>
      <c r="T471">
        <v>0</v>
      </c>
      <c r="U471">
        <v>0</v>
      </c>
      <c r="V471">
        <v>3290</v>
      </c>
      <c r="W471">
        <v>9</v>
      </c>
      <c r="X471">
        <v>1</v>
      </c>
      <c r="Y471">
        <v>0</v>
      </c>
      <c r="AA471">
        <f t="shared" si="74"/>
        <v>1</v>
      </c>
      <c r="AB471" t="str">
        <f t="shared" si="75"/>
        <v>0</v>
      </c>
      <c r="AC471">
        <f t="shared" si="76"/>
        <v>0</v>
      </c>
      <c r="AD471">
        <f t="shared" si="77"/>
        <v>0</v>
      </c>
      <c r="AE471">
        <f t="shared" si="78"/>
        <v>1</v>
      </c>
      <c r="AF471">
        <f t="shared" si="79"/>
        <v>0</v>
      </c>
    </row>
    <row r="472" spans="1:32" x14ac:dyDescent="0.3">
      <c r="A472">
        <v>35</v>
      </c>
      <c r="B472">
        <v>65</v>
      </c>
      <c r="C472">
        <v>167</v>
      </c>
      <c r="D472">
        <f t="shared" si="70"/>
        <v>23.306680053067517</v>
      </c>
      <c r="E472">
        <f t="shared" si="71"/>
        <v>2</v>
      </c>
      <c r="F472">
        <v>86</v>
      </c>
      <c r="G472">
        <f t="shared" si="72"/>
        <v>21</v>
      </c>
      <c r="H472">
        <v>0</v>
      </c>
      <c r="J472">
        <v>0</v>
      </c>
      <c r="K472">
        <v>0</v>
      </c>
      <c r="L472">
        <v>2</v>
      </c>
      <c r="M472">
        <v>40</v>
      </c>
      <c r="N472">
        <v>3</v>
      </c>
      <c r="O472">
        <f t="shared" si="73"/>
        <v>40.428571428571431</v>
      </c>
      <c r="P472">
        <v>0</v>
      </c>
      <c r="Q472">
        <v>0</v>
      </c>
      <c r="R472">
        <v>0</v>
      </c>
      <c r="T472">
        <v>2</v>
      </c>
      <c r="U472">
        <v>0</v>
      </c>
      <c r="V472">
        <v>2920</v>
      </c>
      <c r="W472">
        <v>9</v>
      </c>
      <c r="X472">
        <v>0</v>
      </c>
      <c r="Y472">
        <v>0</v>
      </c>
      <c r="AA472">
        <f t="shared" si="74"/>
        <v>1</v>
      </c>
      <c r="AB472" t="str">
        <f t="shared" si="75"/>
        <v>0</v>
      </c>
      <c r="AC472">
        <f t="shared" si="76"/>
        <v>0</v>
      </c>
      <c r="AD472">
        <f t="shared" si="77"/>
        <v>0</v>
      </c>
      <c r="AE472">
        <f t="shared" si="78"/>
        <v>0</v>
      </c>
      <c r="AF472">
        <f t="shared" si="79"/>
        <v>0</v>
      </c>
    </row>
    <row r="473" spans="1:32" x14ac:dyDescent="0.3">
      <c r="A473">
        <v>27</v>
      </c>
      <c r="B473">
        <v>60</v>
      </c>
      <c r="C473">
        <v>150</v>
      </c>
      <c r="D473">
        <f t="shared" si="70"/>
        <v>26.666666666666668</v>
      </c>
      <c r="E473">
        <f t="shared" si="71"/>
        <v>3</v>
      </c>
      <c r="F473">
        <v>80</v>
      </c>
      <c r="G473">
        <f t="shared" si="72"/>
        <v>20</v>
      </c>
      <c r="H473">
        <v>1</v>
      </c>
      <c r="I473" t="s">
        <v>32</v>
      </c>
      <c r="J473">
        <v>0</v>
      </c>
      <c r="K473">
        <v>0</v>
      </c>
      <c r="L473">
        <v>0</v>
      </c>
      <c r="M473">
        <v>39</v>
      </c>
      <c r="N473">
        <v>2</v>
      </c>
      <c r="O473">
        <f t="shared" si="73"/>
        <v>39.285714285714285</v>
      </c>
      <c r="P473">
        <v>0</v>
      </c>
      <c r="Q473">
        <v>0</v>
      </c>
      <c r="R473">
        <v>0</v>
      </c>
      <c r="T473">
        <v>0</v>
      </c>
      <c r="U473">
        <v>0</v>
      </c>
      <c r="V473">
        <v>2950</v>
      </c>
      <c r="W473">
        <v>9</v>
      </c>
      <c r="X473">
        <v>1</v>
      </c>
      <c r="Y473">
        <v>0</v>
      </c>
      <c r="AA473">
        <f t="shared" si="74"/>
        <v>1</v>
      </c>
      <c r="AB473" t="str">
        <f t="shared" si="75"/>
        <v>0</v>
      </c>
      <c r="AC473">
        <f t="shared" si="76"/>
        <v>0</v>
      </c>
      <c r="AD473">
        <f t="shared" si="77"/>
        <v>0</v>
      </c>
      <c r="AE473">
        <f t="shared" si="78"/>
        <v>0</v>
      </c>
      <c r="AF473">
        <f t="shared" si="79"/>
        <v>0</v>
      </c>
    </row>
    <row r="474" spans="1:32" x14ac:dyDescent="0.3">
      <c r="A474">
        <v>17</v>
      </c>
      <c r="B474">
        <v>52</v>
      </c>
      <c r="C474">
        <v>165</v>
      </c>
      <c r="D474">
        <f t="shared" si="70"/>
        <v>19.100091827364558</v>
      </c>
      <c r="E474">
        <f t="shared" si="71"/>
        <v>1</v>
      </c>
      <c r="F474">
        <v>71</v>
      </c>
      <c r="G474">
        <f t="shared" si="72"/>
        <v>19</v>
      </c>
      <c r="H474">
        <v>0</v>
      </c>
      <c r="J474">
        <v>0</v>
      </c>
      <c r="K474">
        <v>0</v>
      </c>
      <c r="L474">
        <v>0</v>
      </c>
      <c r="M474">
        <v>37</v>
      </c>
      <c r="N474">
        <v>5</v>
      </c>
      <c r="O474">
        <f t="shared" si="73"/>
        <v>37.714285714285715</v>
      </c>
      <c r="P474">
        <v>0</v>
      </c>
      <c r="Q474">
        <v>0</v>
      </c>
      <c r="R474">
        <v>3</v>
      </c>
      <c r="S474" t="s">
        <v>35</v>
      </c>
      <c r="T474">
        <v>0</v>
      </c>
      <c r="U474">
        <v>0</v>
      </c>
      <c r="V474">
        <v>2720</v>
      </c>
      <c r="W474">
        <v>10</v>
      </c>
      <c r="X474">
        <v>1</v>
      </c>
      <c r="Y474">
        <v>0</v>
      </c>
      <c r="AA474">
        <f t="shared" si="74"/>
        <v>1</v>
      </c>
      <c r="AB474" t="str">
        <f t="shared" si="75"/>
        <v>0</v>
      </c>
      <c r="AC474">
        <f t="shared" si="76"/>
        <v>0</v>
      </c>
      <c r="AD474">
        <f t="shared" si="77"/>
        <v>0</v>
      </c>
      <c r="AE474">
        <f t="shared" si="78"/>
        <v>1</v>
      </c>
      <c r="AF474">
        <f t="shared" si="79"/>
        <v>0</v>
      </c>
    </row>
    <row r="475" spans="1:32" x14ac:dyDescent="0.3">
      <c r="A475">
        <v>25</v>
      </c>
      <c r="B475">
        <v>37</v>
      </c>
      <c r="C475">
        <v>151</v>
      </c>
      <c r="D475">
        <f t="shared" si="70"/>
        <v>16.227358449190824</v>
      </c>
      <c r="E475">
        <f t="shared" si="71"/>
        <v>0</v>
      </c>
      <c r="F475">
        <v>49</v>
      </c>
      <c r="G475">
        <f t="shared" si="72"/>
        <v>12</v>
      </c>
      <c r="H475">
        <v>0</v>
      </c>
      <c r="J475">
        <v>0</v>
      </c>
      <c r="K475">
        <v>1</v>
      </c>
      <c r="L475">
        <v>1</v>
      </c>
      <c r="M475">
        <v>37</v>
      </c>
      <c r="N475">
        <v>0</v>
      </c>
      <c r="O475">
        <f t="shared" si="73"/>
        <v>37</v>
      </c>
      <c r="P475">
        <v>0</v>
      </c>
      <c r="Q475">
        <v>0</v>
      </c>
      <c r="R475">
        <v>3</v>
      </c>
      <c r="S475" t="s">
        <v>34</v>
      </c>
      <c r="T475">
        <v>0</v>
      </c>
      <c r="U475">
        <v>0</v>
      </c>
      <c r="V475">
        <v>3330</v>
      </c>
      <c r="W475">
        <v>9</v>
      </c>
      <c r="X475">
        <v>1</v>
      </c>
      <c r="Y475">
        <v>0</v>
      </c>
      <c r="AA475">
        <f t="shared" si="74"/>
        <v>0</v>
      </c>
      <c r="AB475" t="str">
        <f t="shared" si="75"/>
        <v>2</v>
      </c>
      <c r="AC475">
        <f t="shared" si="76"/>
        <v>0</v>
      </c>
      <c r="AD475">
        <f t="shared" si="77"/>
        <v>0</v>
      </c>
      <c r="AE475">
        <f t="shared" si="78"/>
        <v>1</v>
      </c>
      <c r="AF475">
        <f t="shared" si="79"/>
        <v>0</v>
      </c>
    </row>
    <row r="476" spans="1:32" x14ac:dyDescent="0.3">
      <c r="A476">
        <v>32</v>
      </c>
      <c r="B476">
        <v>48</v>
      </c>
      <c r="C476">
        <v>147</v>
      </c>
      <c r="D476">
        <f t="shared" si="70"/>
        <v>22.212966819380814</v>
      </c>
      <c r="E476">
        <f t="shared" si="71"/>
        <v>1</v>
      </c>
      <c r="F476">
        <v>61</v>
      </c>
      <c r="G476">
        <f t="shared" si="72"/>
        <v>13</v>
      </c>
      <c r="H476">
        <v>0</v>
      </c>
      <c r="J476">
        <v>0</v>
      </c>
      <c r="K476">
        <v>1</v>
      </c>
      <c r="L476">
        <v>1</v>
      </c>
      <c r="M476">
        <v>39</v>
      </c>
      <c r="N476">
        <v>0</v>
      </c>
      <c r="O476">
        <f t="shared" si="73"/>
        <v>39</v>
      </c>
      <c r="P476">
        <v>0</v>
      </c>
      <c r="Q476">
        <v>0</v>
      </c>
      <c r="R476">
        <v>3</v>
      </c>
      <c r="S476" t="s">
        <v>34</v>
      </c>
      <c r="T476">
        <v>0</v>
      </c>
      <c r="U476">
        <v>0</v>
      </c>
      <c r="V476">
        <v>2580</v>
      </c>
      <c r="W476">
        <v>8</v>
      </c>
      <c r="X476">
        <v>1</v>
      </c>
      <c r="Y476">
        <v>0</v>
      </c>
      <c r="AA476">
        <f t="shared" si="74"/>
        <v>0</v>
      </c>
      <c r="AB476" t="str">
        <f t="shared" si="75"/>
        <v>1</v>
      </c>
      <c r="AC476">
        <f t="shared" si="76"/>
        <v>0</v>
      </c>
      <c r="AD476">
        <f t="shared" si="77"/>
        <v>0</v>
      </c>
      <c r="AE476">
        <f t="shared" si="78"/>
        <v>1</v>
      </c>
      <c r="AF476">
        <f t="shared" si="79"/>
        <v>0</v>
      </c>
    </row>
    <row r="477" spans="1:32" x14ac:dyDescent="0.3">
      <c r="A477">
        <v>19</v>
      </c>
      <c r="B477">
        <v>44</v>
      </c>
      <c r="C477">
        <v>153</v>
      </c>
      <c r="D477">
        <f t="shared" si="70"/>
        <v>18.796189499765049</v>
      </c>
      <c r="E477">
        <f t="shared" si="71"/>
        <v>1</v>
      </c>
      <c r="F477">
        <v>63</v>
      </c>
      <c r="G477">
        <f t="shared" si="72"/>
        <v>19</v>
      </c>
      <c r="H477">
        <v>0</v>
      </c>
      <c r="J477">
        <v>0</v>
      </c>
      <c r="K477">
        <v>0</v>
      </c>
      <c r="L477">
        <v>0</v>
      </c>
      <c r="M477">
        <v>40</v>
      </c>
      <c r="N477">
        <v>1</v>
      </c>
      <c r="O477">
        <f t="shared" si="73"/>
        <v>40.142857142857146</v>
      </c>
      <c r="P477">
        <v>0</v>
      </c>
      <c r="Q477">
        <v>0</v>
      </c>
      <c r="R477">
        <v>0</v>
      </c>
      <c r="T477">
        <v>0</v>
      </c>
      <c r="U477">
        <v>0</v>
      </c>
      <c r="V477">
        <v>3230</v>
      </c>
      <c r="W477">
        <v>9</v>
      </c>
      <c r="X477">
        <v>0</v>
      </c>
      <c r="Y477">
        <v>0</v>
      </c>
      <c r="AA477">
        <f t="shared" si="74"/>
        <v>1</v>
      </c>
      <c r="AB477" t="str">
        <f t="shared" si="75"/>
        <v>0</v>
      </c>
      <c r="AC477">
        <f t="shared" si="76"/>
        <v>0</v>
      </c>
      <c r="AD477">
        <f t="shared" si="77"/>
        <v>0</v>
      </c>
      <c r="AE477">
        <f t="shared" si="78"/>
        <v>0</v>
      </c>
      <c r="AF477">
        <f t="shared" si="79"/>
        <v>0</v>
      </c>
    </row>
    <row r="478" spans="1:32" x14ac:dyDescent="0.3">
      <c r="A478">
        <v>35</v>
      </c>
      <c r="B478">
        <v>57</v>
      </c>
      <c r="C478">
        <v>156</v>
      </c>
      <c r="D478">
        <f t="shared" si="70"/>
        <v>23.422090729783037</v>
      </c>
      <c r="E478">
        <f t="shared" si="71"/>
        <v>2</v>
      </c>
      <c r="F478">
        <v>69</v>
      </c>
      <c r="G478">
        <f t="shared" si="72"/>
        <v>12</v>
      </c>
      <c r="H478">
        <v>0</v>
      </c>
      <c r="J478">
        <v>0</v>
      </c>
      <c r="K478">
        <v>0</v>
      </c>
      <c r="L478">
        <v>1</v>
      </c>
      <c r="M478">
        <v>39</v>
      </c>
      <c r="N478">
        <v>0</v>
      </c>
      <c r="O478">
        <f t="shared" si="73"/>
        <v>39</v>
      </c>
      <c r="P478">
        <v>0</v>
      </c>
      <c r="Q478">
        <v>0</v>
      </c>
      <c r="R478">
        <v>0</v>
      </c>
      <c r="T478">
        <v>0</v>
      </c>
      <c r="U478">
        <v>0</v>
      </c>
      <c r="V478">
        <v>2950</v>
      </c>
      <c r="W478">
        <v>9</v>
      </c>
      <c r="X478">
        <v>1</v>
      </c>
      <c r="Y478">
        <v>0</v>
      </c>
      <c r="AA478">
        <f t="shared" si="74"/>
        <v>1</v>
      </c>
      <c r="AB478" t="str">
        <f t="shared" si="75"/>
        <v>0</v>
      </c>
      <c r="AC478">
        <f t="shared" si="76"/>
        <v>0</v>
      </c>
      <c r="AD478">
        <f t="shared" si="77"/>
        <v>0</v>
      </c>
      <c r="AE478">
        <f t="shared" si="78"/>
        <v>0</v>
      </c>
      <c r="AF478">
        <f t="shared" si="79"/>
        <v>0</v>
      </c>
    </row>
    <row r="479" spans="1:32" x14ac:dyDescent="0.3">
      <c r="A479">
        <v>31</v>
      </c>
      <c r="B479">
        <v>40</v>
      </c>
      <c r="C479">
        <v>160</v>
      </c>
      <c r="D479">
        <f t="shared" si="70"/>
        <v>15.624999999999996</v>
      </c>
      <c r="E479">
        <f t="shared" si="71"/>
        <v>0</v>
      </c>
      <c r="F479">
        <v>53</v>
      </c>
      <c r="G479">
        <f t="shared" si="72"/>
        <v>13</v>
      </c>
      <c r="H479">
        <v>0</v>
      </c>
      <c r="J479">
        <v>0</v>
      </c>
      <c r="K479">
        <v>1</v>
      </c>
      <c r="L479">
        <v>1</v>
      </c>
      <c r="M479">
        <v>38</v>
      </c>
      <c r="N479">
        <v>5</v>
      </c>
      <c r="O479">
        <f t="shared" si="73"/>
        <v>38.714285714285715</v>
      </c>
      <c r="P479">
        <v>0</v>
      </c>
      <c r="Q479">
        <v>0</v>
      </c>
      <c r="R479">
        <v>3</v>
      </c>
      <c r="S479" t="s">
        <v>34</v>
      </c>
      <c r="T479">
        <v>0</v>
      </c>
      <c r="U479">
        <v>0</v>
      </c>
      <c r="V479">
        <v>3110</v>
      </c>
      <c r="W479">
        <v>8</v>
      </c>
      <c r="X479">
        <v>1</v>
      </c>
      <c r="Y479">
        <v>0</v>
      </c>
      <c r="AA479">
        <f t="shared" si="74"/>
        <v>0</v>
      </c>
      <c r="AB479" t="str">
        <f t="shared" si="75"/>
        <v>0</v>
      </c>
      <c r="AC479">
        <f t="shared" si="76"/>
        <v>0</v>
      </c>
      <c r="AD479">
        <f t="shared" si="77"/>
        <v>0</v>
      </c>
      <c r="AE479">
        <f t="shared" si="78"/>
        <v>1</v>
      </c>
      <c r="AF479">
        <f t="shared" si="79"/>
        <v>0</v>
      </c>
    </row>
    <row r="480" spans="1:32" x14ac:dyDescent="0.3">
      <c r="A480">
        <v>42</v>
      </c>
      <c r="B480">
        <v>61</v>
      </c>
      <c r="C480">
        <v>168</v>
      </c>
      <c r="D480">
        <f t="shared" si="70"/>
        <v>21.612811791383223</v>
      </c>
      <c r="E480">
        <f t="shared" si="71"/>
        <v>1</v>
      </c>
      <c r="F480">
        <v>63</v>
      </c>
      <c r="G480">
        <f t="shared" si="72"/>
        <v>2</v>
      </c>
      <c r="H480">
        <v>1</v>
      </c>
      <c r="I480" t="s">
        <v>48</v>
      </c>
      <c r="J480">
        <v>0</v>
      </c>
      <c r="K480">
        <v>0</v>
      </c>
      <c r="L480">
        <v>0</v>
      </c>
      <c r="M480">
        <v>37</v>
      </c>
      <c r="N480">
        <v>5</v>
      </c>
      <c r="O480">
        <f t="shared" si="73"/>
        <v>37.714285714285715</v>
      </c>
      <c r="P480">
        <v>1</v>
      </c>
      <c r="Q480">
        <v>0</v>
      </c>
      <c r="R480">
        <v>3</v>
      </c>
      <c r="S480" t="s">
        <v>83</v>
      </c>
      <c r="T480">
        <v>0</v>
      </c>
      <c r="U480">
        <v>0</v>
      </c>
      <c r="V480">
        <v>3010</v>
      </c>
      <c r="W480">
        <v>9</v>
      </c>
      <c r="X480">
        <v>1</v>
      </c>
      <c r="Y480">
        <v>0</v>
      </c>
      <c r="AA480">
        <f t="shared" si="74"/>
        <v>0</v>
      </c>
      <c r="AB480" t="str">
        <f t="shared" si="75"/>
        <v>0</v>
      </c>
      <c r="AC480">
        <f t="shared" si="76"/>
        <v>0</v>
      </c>
      <c r="AD480">
        <f t="shared" si="77"/>
        <v>0</v>
      </c>
      <c r="AE480">
        <f t="shared" si="78"/>
        <v>1</v>
      </c>
      <c r="AF480">
        <f t="shared" si="79"/>
        <v>0</v>
      </c>
    </row>
    <row r="481" spans="1:32" x14ac:dyDescent="0.3">
      <c r="A481">
        <v>24</v>
      </c>
      <c r="B481">
        <v>54</v>
      </c>
      <c r="C481">
        <v>150</v>
      </c>
      <c r="D481">
        <f t="shared" si="70"/>
        <v>24</v>
      </c>
      <c r="E481">
        <f t="shared" si="71"/>
        <v>2</v>
      </c>
      <c r="F481">
        <v>59</v>
      </c>
      <c r="G481">
        <f t="shared" si="72"/>
        <v>5</v>
      </c>
      <c r="H481">
        <v>0</v>
      </c>
      <c r="J481">
        <v>0</v>
      </c>
      <c r="K481">
        <v>0</v>
      </c>
      <c r="L481">
        <v>0</v>
      </c>
      <c r="M481">
        <v>39</v>
      </c>
      <c r="N481">
        <v>2</v>
      </c>
      <c r="O481">
        <f t="shared" si="73"/>
        <v>39.285714285714285</v>
      </c>
      <c r="P481">
        <v>0</v>
      </c>
      <c r="Q481">
        <v>0</v>
      </c>
      <c r="R481">
        <v>0</v>
      </c>
      <c r="T481">
        <v>0</v>
      </c>
      <c r="U481">
        <v>0</v>
      </c>
      <c r="V481">
        <v>2500</v>
      </c>
      <c r="W481">
        <v>9</v>
      </c>
      <c r="X481">
        <v>1</v>
      </c>
      <c r="Y481">
        <v>0</v>
      </c>
      <c r="AA481">
        <f t="shared" si="74"/>
        <v>0</v>
      </c>
      <c r="AB481" t="str">
        <f t="shared" si="75"/>
        <v>1</v>
      </c>
      <c r="AC481">
        <f t="shared" si="76"/>
        <v>0</v>
      </c>
      <c r="AD481">
        <f t="shared" si="77"/>
        <v>0</v>
      </c>
      <c r="AE481">
        <f t="shared" si="78"/>
        <v>0</v>
      </c>
      <c r="AF481">
        <f t="shared" si="79"/>
        <v>0</v>
      </c>
    </row>
    <row r="482" spans="1:32" x14ac:dyDescent="0.3">
      <c r="A482">
        <v>32</v>
      </c>
      <c r="B482">
        <v>94</v>
      </c>
      <c r="C482">
        <v>155</v>
      </c>
      <c r="D482">
        <f t="shared" si="70"/>
        <v>39.125910509885529</v>
      </c>
      <c r="E482">
        <f t="shared" si="71"/>
        <v>3</v>
      </c>
      <c r="F482">
        <v>101</v>
      </c>
      <c r="G482">
        <f t="shared" si="72"/>
        <v>7</v>
      </c>
      <c r="H482">
        <v>1</v>
      </c>
      <c r="I482" t="s">
        <v>32</v>
      </c>
      <c r="J482">
        <v>0</v>
      </c>
      <c r="K482">
        <v>1</v>
      </c>
      <c r="L482">
        <v>1</v>
      </c>
      <c r="M482">
        <v>38</v>
      </c>
      <c r="N482">
        <v>3</v>
      </c>
      <c r="O482">
        <f t="shared" si="73"/>
        <v>38.428571428571431</v>
      </c>
      <c r="P482">
        <v>0</v>
      </c>
      <c r="Q482">
        <v>0</v>
      </c>
      <c r="R482">
        <v>3</v>
      </c>
      <c r="S482" t="s">
        <v>83</v>
      </c>
      <c r="T482">
        <v>0</v>
      </c>
      <c r="U482">
        <v>0</v>
      </c>
      <c r="V482">
        <v>3520</v>
      </c>
      <c r="W482">
        <v>8</v>
      </c>
      <c r="X482">
        <v>1</v>
      </c>
      <c r="Y482">
        <v>0</v>
      </c>
      <c r="AA482">
        <f t="shared" si="74"/>
        <v>0</v>
      </c>
      <c r="AB482" t="str">
        <f t="shared" si="75"/>
        <v>0</v>
      </c>
      <c r="AC482">
        <f t="shared" si="76"/>
        <v>0</v>
      </c>
      <c r="AD482">
        <f t="shared" si="77"/>
        <v>0</v>
      </c>
      <c r="AE482">
        <f t="shared" si="78"/>
        <v>1</v>
      </c>
      <c r="AF482">
        <f t="shared" si="79"/>
        <v>0</v>
      </c>
    </row>
    <row r="483" spans="1:32" x14ac:dyDescent="0.3">
      <c r="A483">
        <v>29</v>
      </c>
      <c r="B483">
        <v>60</v>
      </c>
      <c r="C483">
        <v>160</v>
      </c>
      <c r="D483">
        <f t="shared" si="70"/>
        <v>23.437499999999996</v>
      </c>
      <c r="E483">
        <f t="shared" si="71"/>
        <v>2</v>
      </c>
      <c r="F483">
        <v>68.7</v>
      </c>
      <c r="G483">
        <f t="shared" si="72"/>
        <v>8.7000000000000028</v>
      </c>
      <c r="H483">
        <v>0</v>
      </c>
      <c r="J483">
        <v>1</v>
      </c>
      <c r="K483">
        <v>1</v>
      </c>
      <c r="L483">
        <v>1</v>
      </c>
      <c r="M483">
        <v>39</v>
      </c>
      <c r="N483">
        <v>1</v>
      </c>
      <c r="O483">
        <f t="shared" si="73"/>
        <v>39.142857142857146</v>
      </c>
      <c r="P483">
        <v>1</v>
      </c>
      <c r="Q483">
        <v>0</v>
      </c>
      <c r="R483">
        <v>3</v>
      </c>
      <c r="S483" t="s">
        <v>36</v>
      </c>
      <c r="T483">
        <v>0</v>
      </c>
      <c r="U483">
        <v>0</v>
      </c>
      <c r="V483">
        <v>2890</v>
      </c>
      <c r="W483">
        <v>9</v>
      </c>
      <c r="X483">
        <v>1</v>
      </c>
      <c r="Y483">
        <v>0</v>
      </c>
      <c r="AA483">
        <f t="shared" si="74"/>
        <v>0</v>
      </c>
      <c r="AB483" t="str">
        <f t="shared" si="75"/>
        <v>0</v>
      </c>
      <c r="AC483">
        <f t="shared" si="76"/>
        <v>0</v>
      </c>
      <c r="AD483">
        <f t="shared" si="77"/>
        <v>0</v>
      </c>
      <c r="AE483">
        <f t="shared" si="78"/>
        <v>1</v>
      </c>
      <c r="AF483">
        <f t="shared" si="79"/>
        <v>0</v>
      </c>
    </row>
    <row r="484" spans="1:32" x14ac:dyDescent="0.3">
      <c r="A484">
        <v>29</v>
      </c>
      <c r="B484">
        <v>45</v>
      </c>
      <c r="C484">
        <v>155</v>
      </c>
      <c r="D484">
        <f t="shared" si="70"/>
        <v>18.730489073881373</v>
      </c>
      <c r="E484">
        <f t="shared" si="71"/>
        <v>1</v>
      </c>
      <c r="F484">
        <v>51.2</v>
      </c>
      <c r="G484">
        <f t="shared" si="72"/>
        <v>6.2000000000000028</v>
      </c>
      <c r="H484">
        <v>0</v>
      </c>
      <c r="J484">
        <v>0</v>
      </c>
      <c r="K484">
        <v>0</v>
      </c>
      <c r="L484">
        <v>2</v>
      </c>
      <c r="M484">
        <v>38</v>
      </c>
      <c r="N484">
        <v>5</v>
      </c>
      <c r="O484">
        <f t="shared" si="73"/>
        <v>38.714285714285715</v>
      </c>
      <c r="P484">
        <v>0</v>
      </c>
      <c r="Q484">
        <v>0</v>
      </c>
      <c r="R484">
        <v>0</v>
      </c>
      <c r="T484">
        <v>2</v>
      </c>
      <c r="U484">
        <v>0</v>
      </c>
      <c r="V484">
        <v>2820</v>
      </c>
      <c r="W484">
        <v>9</v>
      </c>
      <c r="X484">
        <v>0</v>
      </c>
      <c r="Y484">
        <v>0</v>
      </c>
      <c r="AA484">
        <f t="shared" si="74"/>
        <v>0</v>
      </c>
      <c r="AB484" t="str">
        <f t="shared" si="75"/>
        <v>0</v>
      </c>
      <c r="AC484">
        <f t="shared" si="76"/>
        <v>0</v>
      </c>
      <c r="AD484">
        <f t="shared" si="77"/>
        <v>0</v>
      </c>
      <c r="AE484">
        <f t="shared" si="78"/>
        <v>0</v>
      </c>
      <c r="AF484">
        <f t="shared" si="79"/>
        <v>0</v>
      </c>
    </row>
    <row r="485" spans="1:32" x14ac:dyDescent="0.3">
      <c r="A485">
        <v>40</v>
      </c>
      <c r="B485">
        <v>70</v>
      </c>
      <c r="C485">
        <v>160</v>
      </c>
      <c r="D485">
        <f t="shared" si="70"/>
        <v>27.343749999999996</v>
      </c>
      <c r="E485">
        <f t="shared" si="71"/>
        <v>3</v>
      </c>
      <c r="F485">
        <v>82</v>
      </c>
      <c r="G485">
        <f t="shared" si="72"/>
        <v>12</v>
      </c>
      <c r="H485">
        <v>1</v>
      </c>
      <c r="I485" t="s">
        <v>32</v>
      </c>
      <c r="J485">
        <v>0</v>
      </c>
      <c r="K485">
        <v>0</v>
      </c>
      <c r="L485">
        <v>2</v>
      </c>
      <c r="M485">
        <v>39</v>
      </c>
      <c r="N485">
        <v>6</v>
      </c>
      <c r="O485">
        <f t="shared" si="73"/>
        <v>39.857142857142854</v>
      </c>
      <c r="P485">
        <v>0</v>
      </c>
      <c r="Q485">
        <v>0</v>
      </c>
      <c r="R485">
        <v>0</v>
      </c>
      <c r="T485">
        <v>2</v>
      </c>
      <c r="U485">
        <v>0</v>
      </c>
      <c r="V485">
        <v>3290</v>
      </c>
      <c r="W485">
        <v>9</v>
      </c>
      <c r="X485">
        <v>1</v>
      </c>
      <c r="Y485">
        <v>0</v>
      </c>
      <c r="AA485">
        <f t="shared" si="74"/>
        <v>1</v>
      </c>
      <c r="AB485" t="str">
        <f t="shared" si="75"/>
        <v>0</v>
      </c>
      <c r="AC485">
        <f t="shared" si="76"/>
        <v>0</v>
      </c>
      <c r="AD485">
        <f t="shared" si="77"/>
        <v>0</v>
      </c>
      <c r="AE485">
        <f t="shared" si="78"/>
        <v>0</v>
      </c>
      <c r="AF485">
        <f t="shared" si="79"/>
        <v>0</v>
      </c>
    </row>
    <row r="486" spans="1:32" x14ac:dyDescent="0.3">
      <c r="A486">
        <v>21</v>
      </c>
      <c r="B486">
        <v>47.5</v>
      </c>
      <c r="C486">
        <v>161</v>
      </c>
      <c r="D486">
        <f t="shared" si="70"/>
        <v>18.324910304386403</v>
      </c>
      <c r="E486">
        <f t="shared" si="71"/>
        <v>0</v>
      </c>
      <c r="F486">
        <v>62</v>
      </c>
      <c r="G486">
        <f t="shared" si="72"/>
        <v>14.5</v>
      </c>
      <c r="H486">
        <v>0</v>
      </c>
      <c r="J486">
        <v>0</v>
      </c>
      <c r="K486">
        <v>0</v>
      </c>
      <c r="L486">
        <v>0</v>
      </c>
      <c r="M486">
        <v>38</v>
      </c>
      <c r="N486">
        <v>4</v>
      </c>
      <c r="O486">
        <f t="shared" si="73"/>
        <v>38.571428571428569</v>
      </c>
      <c r="P486">
        <v>0</v>
      </c>
      <c r="Q486">
        <v>1</v>
      </c>
      <c r="R486">
        <v>0</v>
      </c>
      <c r="T486">
        <v>0</v>
      </c>
      <c r="U486">
        <v>0</v>
      </c>
      <c r="V486">
        <v>3180</v>
      </c>
      <c r="W486">
        <v>9</v>
      </c>
      <c r="X486">
        <v>0</v>
      </c>
      <c r="Y486">
        <v>0</v>
      </c>
      <c r="AA486">
        <f t="shared" si="74"/>
        <v>0</v>
      </c>
      <c r="AB486" t="str">
        <f t="shared" si="75"/>
        <v>0</v>
      </c>
      <c r="AC486">
        <f t="shared" si="76"/>
        <v>0</v>
      </c>
      <c r="AD486">
        <f t="shared" si="77"/>
        <v>0</v>
      </c>
      <c r="AE486">
        <f t="shared" si="78"/>
        <v>0</v>
      </c>
      <c r="AF486">
        <f t="shared" si="79"/>
        <v>0</v>
      </c>
    </row>
    <row r="487" spans="1:32" x14ac:dyDescent="0.3">
      <c r="A487">
        <v>33</v>
      </c>
      <c r="B487">
        <v>59</v>
      </c>
      <c r="C487">
        <v>155</v>
      </c>
      <c r="D487">
        <f t="shared" si="70"/>
        <v>24.557752341311129</v>
      </c>
      <c r="E487">
        <f t="shared" si="71"/>
        <v>2</v>
      </c>
      <c r="F487">
        <v>68</v>
      </c>
      <c r="G487">
        <f t="shared" si="72"/>
        <v>9</v>
      </c>
      <c r="H487">
        <v>0</v>
      </c>
      <c r="J487">
        <v>0</v>
      </c>
      <c r="K487">
        <v>0</v>
      </c>
      <c r="L487">
        <v>2</v>
      </c>
      <c r="M487">
        <v>37</v>
      </c>
      <c r="N487">
        <v>5</v>
      </c>
      <c r="O487">
        <f t="shared" si="73"/>
        <v>37.714285714285715</v>
      </c>
      <c r="P487">
        <v>0</v>
      </c>
      <c r="Q487">
        <v>0</v>
      </c>
      <c r="R487">
        <v>3</v>
      </c>
      <c r="S487" t="s">
        <v>36</v>
      </c>
      <c r="T487">
        <v>0</v>
      </c>
      <c r="U487">
        <v>0</v>
      </c>
      <c r="V487">
        <v>2790</v>
      </c>
      <c r="W487">
        <v>8</v>
      </c>
      <c r="X487">
        <v>1</v>
      </c>
      <c r="Y487">
        <v>0</v>
      </c>
      <c r="AA487">
        <f t="shared" si="74"/>
        <v>0</v>
      </c>
      <c r="AB487" t="str">
        <f t="shared" si="75"/>
        <v>0</v>
      </c>
      <c r="AC487">
        <f t="shared" si="76"/>
        <v>0</v>
      </c>
      <c r="AD487">
        <f t="shared" si="77"/>
        <v>0</v>
      </c>
      <c r="AE487">
        <f t="shared" si="78"/>
        <v>1</v>
      </c>
      <c r="AF487">
        <f t="shared" si="79"/>
        <v>0</v>
      </c>
    </row>
    <row r="488" spans="1:32" x14ac:dyDescent="0.3">
      <c r="A488">
        <v>31</v>
      </c>
      <c r="B488">
        <v>57</v>
      </c>
      <c r="C488">
        <v>155</v>
      </c>
      <c r="D488">
        <f t="shared" si="70"/>
        <v>23.725286160249738</v>
      </c>
      <c r="E488">
        <f t="shared" si="71"/>
        <v>2</v>
      </c>
      <c r="F488">
        <v>55</v>
      </c>
      <c r="G488">
        <f t="shared" si="72"/>
        <v>-2</v>
      </c>
      <c r="H488">
        <v>0</v>
      </c>
      <c r="J488">
        <v>0</v>
      </c>
      <c r="K488">
        <v>0</v>
      </c>
      <c r="L488">
        <v>0</v>
      </c>
      <c r="M488">
        <v>37</v>
      </c>
      <c r="N488">
        <v>5</v>
      </c>
      <c r="O488">
        <f t="shared" si="73"/>
        <v>37.714285714285715</v>
      </c>
      <c r="P488">
        <v>0</v>
      </c>
      <c r="Q488">
        <v>0</v>
      </c>
      <c r="R488">
        <v>3</v>
      </c>
      <c r="S488" t="s">
        <v>35</v>
      </c>
      <c r="T488">
        <v>0</v>
      </c>
      <c r="U488">
        <v>0</v>
      </c>
      <c r="V488">
        <v>2750</v>
      </c>
      <c r="W488">
        <v>9</v>
      </c>
      <c r="X488">
        <v>1</v>
      </c>
      <c r="Y488">
        <v>0</v>
      </c>
      <c r="AA488">
        <f t="shared" si="74"/>
        <v>0</v>
      </c>
      <c r="AB488" t="str">
        <f t="shared" si="75"/>
        <v>0</v>
      </c>
      <c r="AC488">
        <f t="shared" si="76"/>
        <v>0</v>
      </c>
      <c r="AD488">
        <f t="shared" si="77"/>
        <v>0</v>
      </c>
      <c r="AE488">
        <f t="shared" si="78"/>
        <v>1</v>
      </c>
      <c r="AF488">
        <f t="shared" si="79"/>
        <v>0</v>
      </c>
    </row>
    <row r="489" spans="1:32" x14ac:dyDescent="0.3">
      <c r="A489">
        <v>35</v>
      </c>
      <c r="B489">
        <v>50</v>
      </c>
      <c r="C489">
        <v>155</v>
      </c>
      <c r="D489">
        <f t="shared" si="70"/>
        <v>20.811654526534856</v>
      </c>
      <c r="E489">
        <f t="shared" si="71"/>
        <v>1</v>
      </c>
      <c r="F489">
        <v>63</v>
      </c>
      <c r="G489">
        <f t="shared" si="72"/>
        <v>13</v>
      </c>
      <c r="H489">
        <v>0</v>
      </c>
      <c r="J489">
        <v>0</v>
      </c>
      <c r="K489">
        <v>0</v>
      </c>
      <c r="L489">
        <v>0</v>
      </c>
      <c r="M489">
        <v>39</v>
      </c>
      <c r="N489">
        <v>4</v>
      </c>
      <c r="O489">
        <f t="shared" si="73"/>
        <v>39.571428571428569</v>
      </c>
      <c r="P489">
        <v>0</v>
      </c>
      <c r="Q489">
        <v>0</v>
      </c>
      <c r="R489">
        <v>3</v>
      </c>
      <c r="S489" t="s">
        <v>35</v>
      </c>
      <c r="T489">
        <v>0</v>
      </c>
      <c r="U489">
        <v>0</v>
      </c>
      <c r="V489">
        <v>2940</v>
      </c>
      <c r="W489">
        <v>8</v>
      </c>
      <c r="X489">
        <v>1</v>
      </c>
      <c r="Y489">
        <v>0</v>
      </c>
      <c r="AA489">
        <f t="shared" si="74"/>
        <v>0</v>
      </c>
      <c r="AB489" t="str">
        <f t="shared" si="75"/>
        <v>0</v>
      </c>
      <c r="AC489">
        <f t="shared" si="76"/>
        <v>0</v>
      </c>
      <c r="AD489">
        <f t="shared" si="77"/>
        <v>0</v>
      </c>
      <c r="AE489">
        <f t="shared" si="78"/>
        <v>1</v>
      </c>
      <c r="AF489">
        <f t="shared" si="79"/>
        <v>0</v>
      </c>
    </row>
    <row r="490" spans="1:32" x14ac:dyDescent="0.3">
      <c r="A490">
        <v>27</v>
      </c>
      <c r="B490">
        <v>85</v>
      </c>
      <c r="C490">
        <v>168</v>
      </c>
      <c r="D490">
        <f t="shared" si="70"/>
        <v>30.116213151927443</v>
      </c>
      <c r="E490">
        <f t="shared" si="71"/>
        <v>3</v>
      </c>
      <c r="F490">
        <v>87</v>
      </c>
      <c r="G490">
        <f t="shared" si="72"/>
        <v>2</v>
      </c>
      <c r="H490">
        <v>1</v>
      </c>
      <c r="I490" t="s">
        <v>32</v>
      </c>
      <c r="J490">
        <v>0</v>
      </c>
      <c r="K490">
        <v>1</v>
      </c>
      <c r="L490">
        <v>2</v>
      </c>
      <c r="M490">
        <v>39</v>
      </c>
      <c r="N490">
        <v>1</v>
      </c>
      <c r="O490">
        <f t="shared" si="73"/>
        <v>39.142857142857146</v>
      </c>
      <c r="P490">
        <v>0</v>
      </c>
      <c r="Q490">
        <v>0</v>
      </c>
      <c r="R490">
        <v>3</v>
      </c>
      <c r="S490" t="s">
        <v>83</v>
      </c>
      <c r="T490">
        <v>0</v>
      </c>
      <c r="U490">
        <v>0</v>
      </c>
      <c r="V490">
        <v>3220</v>
      </c>
      <c r="W490">
        <v>9</v>
      </c>
      <c r="X490">
        <v>1</v>
      </c>
      <c r="Y490">
        <v>0</v>
      </c>
      <c r="AA490">
        <f t="shared" si="74"/>
        <v>0</v>
      </c>
      <c r="AB490" t="str">
        <f t="shared" si="75"/>
        <v>0</v>
      </c>
      <c r="AC490">
        <f t="shared" si="76"/>
        <v>0</v>
      </c>
      <c r="AD490">
        <f t="shared" si="77"/>
        <v>0</v>
      </c>
      <c r="AE490">
        <f t="shared" si="78"/>
        <v>1</v>
      </c>
      <c r="AF490">
        <f t="shared" si="79"/>
        <v>0</v>
      </c>
    </row>
    <row r="491" spans="1:32" x14ac:dyDescent="0.3">
      <c r="A491">
        <v>37</v>
      </c>
      <c r="B491">
        <v>69</v>
      </c>
      <c r="C491">
        <v>158</v>
      </c>
      <c r="D491">
        <f t="shared" si="70"/>
        <v>27.639801313892001</v>
      </c>
      <c r="E491">
        <f t="shared" si="71"/>
        <v>3</v>
      </c>
      <c r="F491">
        <v>78</v>
      </c>
      <c r="G491">
        <f t="shared" si="72"/>
        <v>9</v>
      </c>
      <c r="H491">
        <v>1</v>
      </c>
      <c r="I491" t="s">
        <v>32</v>
      </c>
      <c r="J491">
        <v>0</v>
      </c>
      <c r="K491">
        <v>1</v>
      </c>
      <c r="L491">
        <v>2</v>
      </c>
      <c r="M491">
        <v>38</v>
      </c>
      <c r="N491">
        <v>5</v>
      </c>
      <c r="O491">
        <f t="shared" si="73"/>
        <v>38.714285714285715</v>
      </c>
      <c r="P491">
        <v>0</v>
      </c>
      <c r="Q491">
        <v>0</v>
      </c>
      <c r="R491">
        <v>3</v>
      </c>
      <c r="S491" t="s">
        <v>83</v>
      </c>
      <c r="T491">
        <v>0</v>
      </c>
      <c r="U491">
        <v>0</v>
      </c>
      <c r="V491">
        <v>3790</v>
      </c>
      <c r="W491">
        <v>10</v>
      </c>
      <c r="X491">
        <v>1</v>
      </c>
      <c r="Y491">
        <v>0</v>
      </c>
      <c r="AA491">
        <f t="shared" si="74"/>
        <v>0</v>
      </c>
      <c r="AB491" t="str">
        <f t="shared" si="75"/>
        <v>2</v>
      </c>
      <c r="AC491">
        <f t="shared" si="76"/>
        <v>0</v>
      </c>
      <c r="AD491">
        <f t="shared" si="77"/>
        <v>0</v>
      </c>
      <c r="AE491">
        <f t="shared" si="78"/>
        <v>1</v>
      </c>
      <c r="AF491">
        <f t="shared" si="79"/>
        <v>0</v>
      </c>
    </row>
    <row r="492" spans="1:32" x14ac:dyDescent="0.3">
      <c r="A492">
        <v>29</v>
      </c>
      <c r="B492">
        <v>86</v>
      </c>
      <c r="C492">
        <v>162</v>
      </c>
      <c r="D492">
        <f t="shared" si="70"/>
        <v>32.769394909312595</v>
      </c>
      <c r="E492">
        <f t="shared" si="71"/>
        <v>3</v>
      </c>
      <c r="F492">
        <v>105</v>
      </c>
      <c r="G492">
        <f t="shared" si="72"/>
        <v>19</v>
      </c>
      <c r="H492">
        <v>1</v>
      </c>
      <c r="I492" t="s">
        <v>32</v>
      </c>
      <c r="J492">
        <v>0</v>
      </c>
      <c r="K492">
        <v>1</v>
      </c>
      <c r="L492">
        <v>2</v>
      </c>
      <c r="M492">
        <v>38</v>
      </c>
      <c r="N492">
        <v>6</v>
      </c>
      <c r="O492">
        <f t="shared" si="73"/>
        <v>38.857142857142854</v>
      </c>
      <c r="P492">
        <v>0</v>
      </c>
      <c r="Q492">
        <v>1</v>
      </c>
      <c r="R492">
        <v>3</v>
      </c>
      <c r="S492" t="s">
        <v>83</v>
      </c>
      <c r="T492">
        <v>0</v>
      </c>
      <c r="U492">
        <v>0</v>
      </c>
      <c r="V492">
        <v>2600</v>
      </c>
      <c r="W492">
        <v>8</v>
      </c>
      <c r="X492">
        <v>1</v>
      </c>
      <c r="Y492">
        <v>0</v>
      </c>
      <c r="AA492">
        <f t="shared" si="74"/>
        <v>1</v>
      </c>
      <c r="AB492" t="str">
        <f t="shared" si="75"/>
        <v>0</v>
      </c>
      <c r="AC492">
        <f t="shared" si="76"/>
        <v>0</v>
      </c>
      <c r="AD492">
        <f t="shared" si="77"/>
        <v>0</v>
      </c>
      <c r="AE492">
        <f t="shared" si="78"/>
        <v>1</v>
      </c>
      <c r="AF492">
        <f t="shared" si="79"/>
        <v>0</v>
      </c>
    </row>
    <row r="493" spans="1:32" x14ac:dyDescent="0.3">
      <c r="A493">
        <v>35</v>
      </c>
      <c r="B493">
        <v>55</v>
      </c>
      <c r="C493">
        <v>159</v>
      </c>
      <c r="D493">
        <f t="shared" si="70"/>
        <v>21.75546853368142</v>
      </c>
      <c r="E493">
        <f t="shared" si="71"/>
        <v>1</v>
      </c>
      <c r="F493">
        <v>57</v>
      </c>
      <c r="G493">
        <f t="shared" si="72"/>
        <v>2</v>
      </c>
      <c r="H493">
        <v>0</v>
      </c>
      <c r="J493">
        <v>0</v>
      </c>
      <c r="K493">
        <v>0</v>
      </c>
      <c r="L493">
        <v>2</v>
      </c>
      <c r="M493">
        <v>39</v>
      </c>
      <c r="N493">
        <v>3</v>
      </c>
      <c r="O493">
        <f t="shared" si="73"/>
        <v>39.428571428571431</v>
      </c>
      <c r="P493">
        <v>0</v>
      </c>
      <c r="Q493">
        <v>0</v>
      </c>
      <c r="R493">
        <v>0</v>
      </c>
      <c r="T493">
        <v>2</v>
      </c>
      <c r="U493">
        <v>0</v>
      </c>
      <c r="V493">
        <v>2300</v>
      </c>
      <c r="W493">
        <v>9</v>
      </c>
      <c r="X493">
        <v>1</v>
      </c>
      <c r="Y493">
        <v>0</v>
      </c>
      <c r="AA493">
        <f t="shared" si="74"/>
        <v>0</v>
      </c>
      <c r="AB493" t="str">
        <f t="shared" si="75"/>
        <v>1</v>
      </c>
      <c r="AC493">
        <f t="shared" si="76"/>
        <v>0</v>
      </c>
      <c r="AD493">
        <f t="shared" si="77"/>
        <v>0</v>
      </c>
      <c r="AE493">
        <f t="shared" si="78"/>
        <v>0</v>
      </c>
      <c r="AF493">
        <f t="shared" si="79"/>
        <v>0</v>
      </c>
    </row>
    <row r="494" spans="1:32" x14ac:dyDescent="0.3">
      <c r="A494">
        <v>35</v>
      </c>
      <c r="B494">
        <v>52</v>
      </c>
      <c r="C494">
        <v>155</v>
      </c>
      <c r="D494">
        <f t="shared" si="70"/>
        <v>21.644120707596251</v>
      </c>
      <c r="E494">
        <f t="shared" si="71"/>
        <v>1</v>
      </c>
      <c r="F494">
        <v>61</v>
      </c>
      <c r="G494">
        <f t="shared" si="72"/>
        <v>9</v>
      </c>
      <c r="H494">
        <v>0</v>
      </c>
      <c r="J494">
        <v>0</v>
      </c>
      <c r="K494">
        <v>0</v>
      </c>
      <c r="L494">
        <v>1</v>
      </c>
      <c r="M494">
        <v>40</v>
      </c>
      <c r="N494">
        <v>1</v>
      </c>
      <c r="O494">
        <f t="shared" si="73"/>
        <v>40.142857142857146</v>
      </c>
      <c r="P494">
        <v>0</v>
      </c>
      <c r="Q494">
        <v>0</v>
      </c>
      <c r="R494">
        <v>0</v>
      </c>
      <c r="T494">
        <v>0</v>
      </c>
      <c r="U494">
        <v>0</v>
      </c>
      <c r="V494">
        <v>2770</v>
      </c>
      <c r="W494">
        <v>9</v>
      </c>
      <c r="X494">
        <v>1</v>
      </c>
      <c r="Y494">
        <v>0</v>
      </c>
      <c r="AA494">
        <f t="shared" si="74"/>
        <v>0</v>
      </c>
      <c r="AB494" t="str">
        <f t="shared" si="75"/>
        <v>1</v>
      </c>
      <c r="AC494">
        <f t="shared" si="76"/>
        <v>0</v>
      </c>
      <c r="AD494">
        <f t="shared" si="77"/>
        <v>0</v>
      </c>
      <c r="AE494">
        <f t="shared" si="78"/>
        <v>0</v>
      </c>
      <c r="AF494">
        <f t="shared" si="79"/>
        <v>0</v>
      </c>
    </row>
    <row r="495" spans="1:32" x14ac:dyDescent="0.3">
      <c r="A495">
        <v>29</v>
      </c>
      <c r="B495">
        <v>52</v>
      </c>
      <c r="C495">
        <v>165</v>
      </c>
      <c r="D495">
        <f t="shared" si="70"/>
        <v>19.100091827364558</v>
      </c>
      <c r="E495">
        <f t="shared" si="71"/>
        <v>1</v>
      </c>
      <c r="F495">
        <v>72</v>
      </c>
      <c r="G495">
        <f t="shared" si="72"/>
        <v>20</v>
      </c>
      <c r="H495">
        <v>0</v>
      </c>
      <c r="J495">
        <v>0</v>
      </c>
      <c r="K495">
        <v>0</v>
      </c>
      <c r="L495">
        <v>1</v>
      </c>
      <c r="M495">
        <v>37</v>
      </c>
      <c r="N495">
        <v>1</v>
      </c>
      <c r="O495">
        <f t="shared" si="73"/>
        <v>37.142857142857146</v>
      </c>
      <c r="P495">
        <v>0</v>
      </c>
      <c r="Q495">
        <v>0</v>
      </c>
      <c r="R495">
        <v>0</v>
      </c>
      <c r="T495">
        <v>2</v>
      </c>
      <c r="U495">
        <v>0</v>
      </c>
      <c r="V495">
        <v>2530</v>
      </c>
      <c r="W495">
        <v>9</v>
      </c>
      <c r="X495">
        <v>1</v>
      </c>
      <c r="Y495">
        <v>0</v>
      </c>
      <c r="AA495">
        <f t="shared" si="74"/>
        <v>1</v>
      </c>
      <c r="AB495" t="str">
        <f t="shared" si="75"/>
        <v>0</v>
      </c>
      <c r="AC495">
        <f t="shared" si="76"/>
        <v>0</v>
      </c>
      <c r="AD495">
        <f t="shared" si="77"/>
        <v>0</v>
      </c>
      <c r="AE495">
        <f t="shared" si="78"/>
        <v>0</v>
      </c>
      <c r="AF495">
        <f t="shared" si="79"/>
        <v>0</v>
      </c>
    </row>
    <row r="496" spans="1:32" x14ac:dyDescent="0.3">
      <c r="A496">
        <v>43</v>
      </c>
      <c r="B496">
        <v>60</v>
      </c>
      <c r="C496">
        <v>160</v>
      </c>
      <c r="D496">
        <f t="shared" si="70"/>
        <v>23.437499999999996</v>
      </c>
      <c r="E496">
        <f t="shared" si="71"/>
        <v>2</v>
      </c>
      <c r="F496">
        <v>76</v>
      </c>
      <c r="G496">
        <f t="shared" si="72"/>
        <v>16</v>
      </c>
      <c r="H496">
        <v>0</v>
      </c>
      <c r="J496">
        <v>0</v>
      </c>
      <c r="K496">
        <v>0</v>
      </c>
      <c r="L496">
        <v>3</v>
      </c>
      <c r="M496">
        <v>40</v>
      </c>
      <c r="N496">
        <v>1</v>
      </c>
      <c r="O496">
        <f t="shared" si="73"/>
        <v>40.142857142857146</v>
      </c>
      <c r="P496">
        <v>0</v>
      </c>
      <c r="Q496">
        <v>0</v>
      </c>
      <c r="R496">
        <v>0</v>
      </c>
      <c r="T496">
        <v>2</v>
      </c>
      <c r="U496">
        <v>0</v>
      </c>
      <c r="V496">
        <v>3660</v>
      </c>
      <c r="W496">
        <v>9</v>
      </c>
      <c r="X496">
        <v>1</v>
      </c>
      <c r="Y496">
        <v>0</v>
      </c>
      <c r="AA496">
        <f t="shared" si="74"/>
        <v>1</v>
      </c>
      <c r="AB496" t="str">
        <f t="shared" si="75"/>
        <v>0</v>
      </c>
      <c r="AC496">
        <f t="shared" si="76"/>
        <v>0</v>
      </c>
      <c r="AD496">
        <f t="shared" si="77"/>
        <v>0</v>
      </c>
      <c r="AE496">
        <f t="shared" si="78"/>
        <v>0</v>
      </c>
      <c r="AF496">
        <f t="shared" si="79"/>
        <v>0</v>
      </c>
    </row>
    <row r="497" spans="1:32" x14ac:dyDescent="0.3">
      <c r="A497">
        <v>31</v>
      </c>
      <c r="B497">
        <v>35</v>
      </c>
      <c r="C497">
        <v>155</v>
      </c>
      <c r="D497">
        <f t="shared" si="70"/>
        <v>14.568158168574399</v>
      </c>
      <c r="E497">
        <f t="shared" si="71"/>
        <v>0</v>
      </c>
      <c r="F497">
        <v>63</v>
      </c>
      <c r="G497">
        <f t="shared" si="72"/>
        <v>28</v>
      </c>
      <c r="H497">
        <v>0</v>
      </c>
      <c r="J497">
        <v>0</v>
      </c>
      <c r="K497">
        <v>0</v>
      </c>
      <c r="L497">
        <v>2</v>
      </c>
      <c r="M497">
        <v>39</v>
      </c>
      <c r="N497">
        <v>4</v>
      </c>
      <c r="O497">
        <f t="shared" si="73"/>
        <v>39.571428571428569</v>
      </c>
      <c r="P497">
        <v>0</v>
      </c>
      <c r="Q497">
        <v>1</v>
      </c>
      <c r="R497">
        <v>0</v>
      </c>
      <c r="T497">
        <v>2</v>
      </c>
      <c r="U497">
        <v>0</v>
      </c>
      <c r="V497">
        <v>2500</v>
      </c>
      <c r="W497">
        <v>8</v>
      </c>
      <c r="X497">
        <v>1</v>
      </c>
      <c r="Y497">
        <v>0</v>
      </c>
      <c r="AA497">
        <f t="shared" si="74"/>
        <v>1</v>
      </c>
      <c r="AB497" t="str">
        <f t="shared" si="75"/>
        <v>1</v>
      </c>
      <c r="AC497">
        <f t="shared" si="76"/>
        <v>0</v>
      </c>
      <c r="AD497">
        <f t="shared" si="77"/>
        <v>0</v>
      </c>
      <c r="AE497">
        <f t="shared" si="78"/>
        <v>0</v>
      </c>
      <c r="AF497">
        <f t="shared" si="79"/>
        <v>0</v>
      </c>
    </row>
    <row r="498" spans="1:32" x14ac:dyDescent="0.3">
      <c r="A498">
        <v>25</v>
      </c>
      <c r="B498">
        <v>43</v>
      </c>
      <c r="C498">
        <v>163</v>
      </c>
      <c r="D498">
        <f t="shared" si="70"/>
        <v>16.184274906846326</v>
      </c>
      <c r="E498">
        <f t="shared" si="71"/>
        <v>0</v>
      </c>
      <c r="F498">
        <v>61</v>
      </c>
      <c r="G498">
        <f t="shared" si="72"/>
        <v>18</v>
      </c>
      <c r="H498">
        <v>0</v>
      </c>
      <c r="J498">
        <v>0</v>
      </c>
      <c r="K498">
        <v>0</v>
      </c>
      <c r="L498">
        <v>0</v>
      </c>
      <c r="M498">
        <v>39</v>
      </c>
      <c r="N498">
        <v>0</v>
      </c>
      <c r="O498">
        <f t="shared" si="73"/>
        <v>39</v>
      </c>
      <c r="P498">
        <v>0</v>
      </c>
      <c r="Q498">
        <v>0</v>
      </c>
      <c r="R498">
        <v>0</v>
      </c>
      <c r="T498">
        <v>0</v>
      </c>
      <c r="U498">
        <v>0</v>
      </c>
      <c r="V498">
        <v>2970</v>
      </c>
      <c r="W498">
        <v>9</v>
      </c>
      <c r="X498">
        <v>1</v>
      </c>
      <c r="Y498">
        <v>0</v>
      </c>
      <c r="AA498">
        <f t="shared" si="74"/>
        <v>0</v>
      </c>
      <c r="AB498" t="str">
        <f t="shared" si="75"/>
        <v>0</v>
      </c>
      <c r="AC498">
        <f t="shared" si="76"/>
        <v>0</v>
      </c>
      <c r="AD498">
        <f t="shared" si="77"/>
        <v>0</v>
      </c>
      <c r="AE498">
        <f t="shared" si="78"/>
        <v>0</v>
      </c>
      <c r="AF498">
        <f t="shared" si="79"/>
        <v>0</v>
      </c>
    </row>
    <row r="499" spans="1:32" x14ac:dyDescent="0.3">
      <c r="A499">
        <v>23</v>
      </c>
      <c r="B499">
        <v>45</v>
      </c>
      <c r="C499">
        <v>163</v>
      </c>
      <c r="D499">
        <f t="shared" si="70"/>
        <v>16.937031879257784</v>
      </c>
      <c r="E499">
        <f t="shared" si="71"/>
        <v>0</v>
      </c>
      <c r="F499">
        <v>54</v>
      </c>
      <c r="G499">
        <f t="shared" si="72"/>
        <v>9</v>
      </c>
      <c r="H499">
        <v>0</v>
      </c>
      <c r="J499">
        <v>0</v>
      </c>
      <c r="K499">
        <v>0</v>
      </c>
      <c r="L499">
        <v>0</v>
      </c>
      <c r="M499">
        <v>41</v>
      </c>
      <c r="N499">
        <v>2</v>
      </c>
      <c r="O499">
        <f t="shared" si="73"/>
        <v>41.285714285714285</v>
      </c>
      <c r="P499">
        <v>0</v>
      </c>
      <c r="Q499">
        <v>0</v>
      </c>
      <c r="R499">
        <v>0</v>
      </c>
      <c r="T499">
        <v>0</v>
      </c>
      <c r="U499">
        <v>0</v>
      </c>
      <c r="V499">
        <v>2700</v>
      </c>
      <c r="W499">
        <v>9</v>
      </c>
      <c r="X499">
        <v>1</v>
      </c>
      <c r="Y499">
        <v>0</v>
      </c>
      <c r="AA499">
        <f t="shared" si="74"/>
        <v>0</v>
      </c>
      <c r="AB499" t="str">
        <f t="shared" si="75"/>
        <v>1</v>
      </c>
      <c r="AC499">
        <f t="shared" si="76"/>
        <v>0</v>
      </c>
      <c r="AD499">
        <f t="shared" si="77"/>
        <v>0</v>
      </c>
      <c r="AE499">
        <f t="shared" si="78"/>
        <v>0</v>
      </c>
      <c r="AF499">
        <f t="shared" si="79"/>
        <v>0</v>
      </c>
    </row>
    <row r="500" spans="1:32" x14ac:dyDescent="0.3">
      <c r="A500">
        <v>17</v>
      </c>
      <c r="B500">
        <v>59</v>
      </c>
      <c r="C500">
        <v>160</v>
      </c>
      <c r="D500">
        <f t="shared" si="70"/>
        <v>23.046874999999996</v>
      </c>
      <c r="E500">
        <f t="shared" si="71"/>
        <v>2</v>
      </c>
      <c r="F500">
        <v>75</v>
      </c>
      <c r="G500">
        <f t="shared" si="72"/>
        <v>16</v>
      </c>
      <c r="H500">
        <v>0</v>
      </c>
      <c r="J500">
        <v>0</v>
      </c>
      <c r="K500">
        <v>0</v>
      </c>
      <c r="L500">
        <v>0</v>
      </c>
      <c r="M500">
        <v>41</v>
      </c>
      <c r="N500">
        <v>2</v>
      </c>
      <c r="O500">
        <f t="shared" si="73"/>
        <v>41.285714285714285</v>
      </c>
      <c r="P500">
        <v>0</v>
      </c>
      <c r="Q500">
        <v>0</v>
      </c>
      <c r="R500">
        <v>0</v>
      </c>
      <c r="T500">
        <v>0</v>
      </c>
      <c r="U500">
        <v>0</v>
      </c>
      <c r="V500">
        <v>3160</v>
      </c>
      <c r="W500">
        <v>9</v>
      </c>
      <c r="X500">
        <v>0</v>
      </c>
      <c r="Y500">
        <v>0</v>
      </c>
      <c r="AA500">
        <f t="shared" si="74"/>
        <v>1</v>
      </c>
      <c r="AB500" t="str">
        <f t="shared" si="75"/>
        <v>0</v>
      </c>
      <c r="AC500">
        <f t="shared" si="76"/>
        <v>0</v>
      </c>
      <c r="AD500">
        <f t="shared" si="77"/>
        <v>0</v>
      </c>
      <c r="AE500">
        <f t="shared" si="78"/>
        <v>0</v>
      </c>
      <c r="AF500">
        <f t="shared" si="79"/>
        <v>0</v>
      </c>
    </row>
    <row r="501" spans="1:32" x14ac:dyDescent="0.3">
      <c r="A501">
        <v>44</v>
      </c>
      <c r="B501">
        <v>95</v>
      </c>
      <c r="C501">
        <v>170</v>
      </c>
      <c r="D501">
        <f t="shared" si="70"/>
        <v>32.871972318339104</v>
      </c>
      <c r="E501">
        <f t="shared" si="71"/>
        <v>3</v>
      </c>
      <c r="F501">
        <v>110</v>
      </c>
      <c r="G501">
        <f t="shared" si="72"/>
        <v>15</v>
      </c>
      <c r="H501">
        <v>1</v>
      </c>
      <c r="I501" t="s">
        <v>32</v>
      </c>
      <c r="J501">
        <v>0</v>
      </c>
      <c r="K501">
        <v>0</v>
      </c>
      <c r="L501">
        <v>3</v>
      </c>
      <c r="M501">
        <v>39</v>
      </c>
      <c r="N501">
        <v>3</v>
      </c>
      <c r="O501">
        <f t="shared" si="73"/>
        <v>39.428571428571431</v>
      </c>
      <c r="P501">
        <v>0</v>
      </c>
      <c r="Q501">
        <v>0</v>
      </c>
      <c r="R501">
        <v>0</v>
      </c>
      <c r="T501">
        <v>0</v>
      </c>
      <c r="U501">
        <v>0</v>
      </c>
      <c r="V501">
        <v>3080</v>
      </c>
      <c r="W501">
        <v>9</v>
      </c>
      <c r="X501">
        <v>0</v>
      </c>
      <c r="Y501">
        <v>0</v>
      </c>
      <c r="AA501">
        <f t="shared" si="74"/>
        <v>1</v>
      </c>
      <c r="AB501" t="str">
        <f t="shared" si="75"/>
        <v>0</v>
      </c>
      <c r="AC501">
        <f t="shared" si="76"/>
        <v>0</v>
      </c>
      <c r="AD501">
        <f t="shared" si="77"/>
        <v>0</v>
      </c>
      <c r="AE501">
        <f t="shared" si="78"/>
        <v>0</v>
      </c>
      <c r="AF501">
        <f t="shared" si="79"/>
        <v>0</v>
      </c>
    </row>
    <row r="502" spans="1:32" x14ac:dyDescent="0.3">
      <c r="A502">
        <v>23</v>
      </c>
      <c r="B502">
        <v>55</v>
      </c>
      <c r="C502">
        <v>155</v>
      </c>
      <c r="D502">
        <f t="shared" si="70"/>
        <v>22.892819979188342</v>
      </c>
      <c r="E502">
        <f t="shared" si="71"/>
        <v>1</v>
      </c>
      <c r="F502">
        <v>69</v>
      </c>
      <c r="G502">
        <f t="shared" si="72"/>
        <v>14</v>
      </c>
      <c r="H502">
        <v>0</v>
      </c>
      <c r="J502">
        <v>1</v>
      </c>
      <c r="K502">
        <v>1</v>
      </c>
      <c r="L502">
        <v>1</v>
      </c>
      <c r="M502">
        <v>38</v>
      </c>
      <c r="N502">
        <v>5</v>
      </c>
      <c r="O502">
        <f t="shared" si="73"/>
        <v>38.714285714285715</v>
      </c>
      <c r="P502">
        <v>0</v>
      </c>
      <c r="Q502">
        <v>0</v>
      </c>
      <c r="R502">
        <v>3</v>
      </c>
      <c r="S502" t="s">
        <v>34</v>
      </c>
      <c r="T502">
        <v>0</v>
      </c>
      <c r="U502">
        <v>0</v>
      </c>
      <c r="V502">
        <v>3370</v>
      </c>
      <c r="W502">
        <v>8</v>
      </c>
      <c r="X502">
        <v>1</v>
      </c>
      <c r="Y502">
        <v>0</v>
      </c>
      <c r="AA502">
        <f t="shared" si="74"/>
        <v>0</v>
      </c>
      <c r="AB502" t="str">
        <f t="shared" si="75"/>
        <v>0</v>
      </c>
      <c r="AC502">
        <f t="shared" si="76"/>
        <v>0</v>
      </c>
      <c r="AD502">
        <f t="shared" si="77"/>
        <v>0</v>
      </c>
      <c r="AE502">
        <f t="shared" si="78"/>
        <v>1</v>
      </c>
      <c r="AF502">
        <f t="shared" si="79"/>
        <v>0</v>
      </c>
    </row>
    <row r="503" spans="1:32" x14ac:dyDescent="0.3">
      <c r="A503">
        <v>35</v>
      </c>
      <c r="B503">
        <v>77</v>
      </c>
      <c r="C503">
        <v>147</v>
      </c>
      <c r="D503">
        <f t="shared" si="70"/>
        <v>35.633300939423393</v>
      </c>
      <c r="E503">
        <f t="shared" si="71"/>
        <v>3</v>
      </c>
      <c r="F503">
        <v>87</v>
      </c>
      <c r="G503">
        <f t="shared" si="72"/>
        <v>10</v>
      </c>
      <c r="H503">
        <v>1</v>
      </c>
      <c r="I503" t="s">
        <v>47</v>
      </c>
      <c r="J503">
        <v>0</v>
      </c>
      <c r="K503">
        <v>0</v>
      </c>
      <c r="L503">
        <v>0</v>
      </c>
      <c r="M503">
        <v>39</v>
      </c>
      <c r="N503">
        <v>5</v>
      </c>
      <c r="O503">
        <f t="shared" si="73"/>
        <v>39.714285714285715</v>
      </c>
      <c r="P503">
        <v>0</v>
      </c>
      <c r="Q503">
        <v>0</v>
      </c>
      <c r="R503">
        <v>3</v>
      </c>
      <c r="S503" t="s">
        <v>35</v>
      </c>
      <c r="T503">
        <v>0</v>
      </c>
      <c r="U503">
        <v>0</v>
      </c>
      <c r="V503">
        <v>3120</v>
      </c>
      <c r="W503">
        <v>8</v>
      </c>
      <c r="X503">
        <v>1</v>
      </c>
      <c r="Y503">
        <v>0</v>
      </c>
      <c r="AA503">
        <f t="shared" si="74"/>
        <v>1</v>
      </c>
      <c r="AB503" t="str">
        <f t="shared" si="75"/>
        <v>0</v>
      </c>
      <c r="AC503">
        <f t="shared" si="76"/>
        <v>0</v>
      </c>
      <c r="AD503">
        <f t="shared" si="77"/>
        <v>0</v>
      </c>
      <c r="AE503">
        <f t="shared" si="78"/>
        <v>1</v>
      </c>
      <c r="AF503">
        <f t="shared" si="79"/>
        <v>0</v>
      </c>
    </row>
    <row r="504" spans="1:32" x14ac:dyDescent="0.3">
      <c r="A504">
        <v>36</v>
      </c>
      <c r="B504">
        <v>57</v>
      </c>
      <c r="C504">
        <v>165</v>
      </c>
      <c r="D504">
        <f t="shared" si="70"/>
        <v>20.936639118457304</v>
      </c>
      <c r="E504">
        <f t="shared" si="71"/>
        <v>1</v>
      </c>
      <c r="F504">
        <v>76</v>
      </c>
      <c r="G504">
        <f t="shared" si="72"/>
        <v>19</v>
      </c>
      <c r="H504">
        <v>0</v>
      </c>
      <c r="J504">
        <v>0</v>
      </c>
      <c r="K504">
        <v>0</v>
      </c>
      <c r="L504">
        <v>1</v>
      </c>
      <c r="M504">
        <v>39</v>
      </c>
      <c r="N504">
        <v>6</v>
      </c>
      <c r="O504">
        <f t="shared" si="73"/>
        <v>39.857142857142854</v>
      </c>
      <c r="P504">
        <v>1</v>
      </c>
      <c r="Q504">
        <v>0</v>
      </c>
      <c r="R504">
        <v>0</v>
      </c>
      <c r="T504">
        <v>0</v>
      </c>
      <c r="U504">
        <v>0</v>
      </c>
      <c r="V504">
        <v>3850</v>
      </c>
      <c r="W504">
        <v>9</v>
      </c>
      <c r="X504">
        <v>1</v>
      </c>
      <c r="Y504">
        <v>0</v>
      </c>
      <c r="AA504">
        <f t="shared" si="74"/>
        <v>1</v>
      </c>
      <c r="AB504" t="str">
        <f t="shared" si="75"/>
        <v>2</v>
      </c>
      <c r="AC504">
        <f t="shared" si="76"/>
        <v>0</v>
      </c>
      <c r="AD504">
        <f t="shared" si="77"/>
        <v>0</v>
      </c>
      <c r="AE504">
        <f t="shared" si="78"/>
        <v>0</v>
      </c>
      <c r="AF504">
        <f t="shared" si="79"/>
        <v>0</v>
      </c>
    </row>
    <row r="505" spans="1:32" x14ac:dyDescent="0.3">
      <c r="A505">
        <v>45</v>
      </c>
      <c r="B505">
        <v>55.4</v>
      </c>
      <c r="C505">
        <v>155</v>
      </c>
      <c r="D505">
        <f t="shared" si="70"/>
        <v>23.059313215400621</v>
      </c>
      <c r="E505">
        <f t="shared" si="71"/>
        <v>2</v>
      </c>
      <c r="F505">
        <v>72</v>
      </c>
      <c r="G505">
        <f t="shared" si="72"/>
        <v>16.600000000000001</v>
      </c>
      <c r="H505">
        <v>0</v>
      </c>
      <c r="J505">
        <v>0</v>
      </c>
      <c r="K505">
        <v>0</v>
      </c>
      <c r="L505">
        <v>0</v>
      </c>
      <c r="M505">
        <v>37</v>
      </c>
      <c r="N505">
        <v>0</v>
      </c>
      <c r="O505">
        <f t="shared" si="73"/>
        <v>37</v>
      </c>
      <c r="P505">
        <v>0</v>
      </c>
      <c r="Q505">
        <v>1</v>
      </c>
      <c r="R505">
        <v>3</v>
      </c>
      <c r="S505" t="s">
        <v>10</v>
      </c>
      <c r="T505">
        <v>0</v>
      </c>
      <c r="U505">
        <v>0</v>
      </c>
      <c r="V505">
        <v>2000</v>
      </c>
      <c r="W505">
        <v>9</v>
      </c>
      <c r="X505">
        <v>1</v>
      </c>
      <c r="Y505">
        <v>0</v>
      </c>
      <c r="AA505">
        <f t="shared" si="74"/>
        <v>1</v>
      </c>
      <c r="AB505" t="str">
        <f t="shared" si="75"/>
        <v>1</v>
      </c>
      <c r="AC505">
        <f t="shared" si="76"/>
        <v>0</v>
      </c>
      <c r="AD505">
        <f t="shared" si="77"/>
        <v>0</v>
      </c>
      <c r="AE505">
        <f t="shared" si="78"/>
        <v>1</v>
      </c>
      <c r="AF505">
        <f t="shared" si="79"/>
        <v>0</v>
      </c>
    </row>
    <row r="506" spans="1:32" x14ac:dyDescent="0.3">
      <c r="A506">
        <v>14</v>
      </c>
      <c r="B506">
        <v>54</v>
      </c>
      <c r="C506">
        <v>160</v>
      </c>
      <c r="D506">
        <f t="shared" si="70"/>
        <v>21.093749999999996</v>
      </c>
      <c r="E506">
        <f t="shared" si="71"/>
        <v>1</v>
      </c>
      <c r="F506">
        <v>78</v>
      </c>
      <c r="G506">
        <f t="shared" si="72"/>
        <v>24</v>
      </c>
      <c r="H506">
        <v>0</v>
      </c>
      <c r="J506">
        <v>0</v>
      </c>
      <c r="K506">
        <v>0</v>
      </c>
      <c r="L506">
        <v>0</v>
      </c>
      <c r="M506">
        <v>40</v>
      </c>
      <c r="N506">
        <v>2</v>
      </c>
      <c r="O506">
        <f t="shared" si="73"/>
        <v>40.285714285714285</v>
      </c>
      <c r="P506">
        <v>0</v>
      </c>
      <c r="Q506">
        <v>1</v>
      </c>
      <c r="R506">
        <v>0</v>
      </c>
      <c r="T506">
        <v>0</v>
      </c>
      <c r="U506">
        <v>0</v>
      </c>
      <c r="V506">
        <v>2660</v>
      </c>
      <c r="W506">
        <v>9</v>
      </c>
      <c r="X506">
        <v>0</v>
      </c>
      <c r="Y506">
        <v>0</v>
      </c>
      <c r="AA506">
        <f t="shared" si="74"/>
        <v>1</v>
      </c>
      <c r="AB506" t="str">
        <f t="shared" si="75"/>
        <v>1</v>
      </c>
      <c r="AC506">
        <f t="shared" si="76"/>
        <v>0</v>
      </c>
      <c r="AD506">
        <f t="shared" si="77"/>
        <v>0</v>
      </c>
      <c r="AE506">
        <f t="shared" si="78"/>
        <v>0</v>
      </c>
      <c r="AF506">
        <f t="shared" si="79"/>
        <v>0</v>
      </c>
    </row>
    <row r="507" spans="1:32" x14ac:dyDescent="0.3">
      <c r="A507">
        <v>36</v>
      </c>
      <c r="B507">
        <v>45</v>
      </c>
      <c r="C507">
        <v>155</v>
      </c>
      <c r="D507">
        <f t="shared" si="70"/>
        <v>18.730489073881373</v>
      </c>
      <c r="E507">
        <f t="shared" si="71"/>
        <v>1</v>
      </c>
      <c r="F507">
        <v>57.5</v>
      </c>
      <c r="G507">
        <f t="shared" si="72"/>
        <v>12.5</v>
      </c>
      <c r="H507">
        <v>0</v>
      </c>
      <c r="J507">
        <v>0</v>
      </c>
      <c r="K507">
        <v>0</v>
      </c>
      <c r="L507">
        <v>0</v>
      </c>
      <c r="M507">
        <v>37</v>
      </c>
      <c r="N507">
        <v>4</v>
      </c>
      <c r="O507">
        <f t="shared" si="73"/>
        <v>37.571428571428569</v>
      </c>
      <c r="P507">
        <v>0</v>
      </c>
      <c r="Q507">
        <v>0</v>
      </c>
      <c r="R507">
        <v>3</v>
      </c>
      <c r="S507" t="s">
        <v>49</v>
      </c>
      <c r="T507">
        <v>0</v>
      </c>
      <c r="U507">
        <v>0</v>
      </c>
      <c r="V507">
        <v>2780</v>
      </c>
      <c r="W507">
        <v>7</v>
      </c>
      <c r="X507">
        <v>2</v>
      </c>
      <c r="Y507">
        <v>0</v>
      </c>
      <c r="AA507">
        <f t="shared" si="74"/>
        <v>0</v>
      </c>
      <c r="AB507" t="str">
        <f t="shared" si="75"/>
        <v>0</v>
      </c>
      <c r="AC507">
        <f t="shared" si="76"/>
        <v>0</v>
      </c>
      <c r="AD507">
        <f t="shared" si="77"/>
        <v>1</v>
      </c>
      <c r="AE507">
        <f t="shared" si="78"/>
        <v>1</v>
      </c>
      <c r="AF507">
        <f t="shared" si="79"/>
        <v>1</v>
      </c>
    </row>
    <row r="508" spans="1:32" x14ac:dyDescent="0.3">
      <c r="A508">
        <v>37</v>
      </c>
      <c r="B508">
        <v>50</v>
      </c>
      <c r="C508">
        <v>158</v>
      </c>
      <c r="D508">
        <f t="shared" si="70"/>
        <v>20.028841531805796</v>
      </c>
      <c r="E508">
        <f t="shared" si="71"/>
        <v>1</v>
      </c>
      <c r="F508">
        <v>62</v>
      </c>
      <c r="G508">
        <f t="shared" si="72"/>
        <v>12</v>
      </c>
      <c r="H508">
        <v>0</v>
      </c>
      <c r="J508">
        <v>0</v>
      </c>
      <c r="K508">
        <v>0</v>
      </c>
      <c r="L508">
        <v>0</v>
      </c>
      <c r="M508">
        <v>40</v>
      </c>
      <c r="N508">
        <v>0</v>
      </c>
      <c r="O508">
        <f t="shared" si="73"/>
        <v>40</v>
      </c>
      <c r="P508">
        <v>0</v>
      </c>
      <c r="Q508">
        <v>0</v>
      </c>
      <c r="R508">
        <v>3</v>
      </c>
      <c r="S508" t="s">
        <v>35</v>
      </c>
      <c r="T508">
        <v>0</v>
      </c>
      <c r="U508">
        <v>0</v>
      </c>
      <c r="V508">
        <v>2790</v>
      </c>
      <c r="W508">
        <v>9</v>
      </c>
      <c r="X508">
        <v>1</v>
      </c>
      <c r="Y508">
        <v>0</v>
      </c>
      <c r="AA508">
        <f t="shared" si="74"/>
        <v>0</v>
      </c>
      <c r="AB508" t="str">
        <f t="shared" si="75"/>
        <v>1</v>
      </c>
      <c r="AC508">
        <f t="shared" si="76"/>
        <v>0</v>
      </c>
      <c r="AD508">
        <f t="shared" si="77"/>
        <v>0</v>
      </c>
      <c r="AE508">
        <f t="shared" si="78"/>
        <v>1</v>
      </c>
      <c r="AF508">
        <f t="shared" si="79"/>
        <v>0</v>
      </c>
    </row>
    <row r="509" spans="1:32" x14ac:dyDescent="0.3">
      <c r="A509">
        <v>18</v>
      </c>
      <c r="B509">
        <v>48</v>
      </c>
      <c r="C509">
        <v>160</v>
      </c>
      <c r="D509">
        <f t="shared" si="70"/>
        <v>18.749999999999996</v>
      </c>
      <c r="E509">
        <f t="shared" si="71"/>
        <v>1</v>
      </c>
      <c r="F509">
        <v>50</v>
      </c>
      <c r="G509">
        <f t="shared" si="72"/>
        <v>2</v>
      </c>
      <c r="H509">
        <v>1</v>
      </c>
      <c r="I509" t="s">
        <v>44</v>
      </c>
      <c r="J509">
        <v>0</v>
      </c>
      <c r="K509">
        <v>0</v>
      </c>
      <c r="L509">
        <v>0</v>
      </c>
      <c r="M509">
        <v>39</v>
      </c>
      <c r="N509">
        <v>2</v>
      </c>
      <c r="O509">
        <f t="shared" si="73"/>
        <v>39.285714285714285</v>
      </c>
      <c r="P509">
        <v>0</v>
      </c>
      <c r="Q509">
        <v>1</v>
      </c>
      <c r="R509">
        <v>0</v>
      </c>
      <c r="T509">
        <v>0</v>
      </c>
      <c r="U509">
        <v>0</v>
      </c>
      <c r="V509">
        <v>2320</v>
      </c>
      <c r="W509">
        <v>9</v>
      </c>
      <c r="X509">
        <v>1</v>
      </c>
      <c r="Y509">
        <v>0</v>
      </c>
      <c r="AA509">
        <f t="shared" si="74"/>
        <v>0</v>
      </c>
      <c r="AB509" t="str">
        <f t="shared" si="75"/>
        <v>1</v>
      </c>
      <c r="AC509">
        <f t="shared" si="76"/>
        <v>0</v>
      </c>
      <c r="AD509">
        <f t="shared" si="77"/>
        <v>0</v>
      </c>
      <c r="AE509">
        <f t="shared" si="78"/>
        <v>0</v>
      </c>
      <c r="AF509">
        <f t="shared" si="79"/>
        <v>0</v>
      </c>
    </row>
    <row r="510" spans="1:32" x14ac:dyDescent="0.3">
      <c r="A510">
        <v>17</v>
      </c>
      <c r="B510">
        <v>54</v>
      </c>
      <c r="C510">
        <v>160</v>
      </c>
      <c r="D510">
        <f t="shared" si="70"/>
        <v>21.093749999999996</v>
      </c>
      <c r="E510">
        <f t="shared" si="71"/>
        <v>1</v>
      </c>
      <c r="F510">
        <v>67</v>
      </c>
      <c r="G510">
        <f t="shared" si="72"/>
        <v>13</v>
      </c>
      <c r="H510">
        <v>0</v>
      </c>
      <c r="J510">
        <v>0</v>
      </c>
      <c r="K510">
        <v>0</v>
      </c>
      <c r="L510">
        <v>0</v>
      </c>
      <c r="M510">
        <v>40</v>
      </c>
      <c r="N510">
        <v>3</v>
      </c>
      <c r="O510">
        <f t="shared" si="73"/>
        <v>40.428571428571431</v>
      </c>
      <c r="P510">
        <v>0</v>
      </c>
      <c r="Q510">
        <v>0</v>
      </c>
      <c r="R510">
        <v>3</v>
      </c>
      <c r="S510" t="s">
        <v>36</v>
      </c>
      <c r="T510">
        <v>0</v>
      </c>
      <c r="U510">
        <v>0</v>
      </c>
      <c r="V510">
        <v>2930</v>
      </c>
      <c r="W510">
        <v>9</v>
      </c>
      <c r="X510">
        <v>1</v>
      </c>
      <c r="Y510">
        <v>0</v>
      </c>
      <c r="AA510">
        <f t="shared" si="74"/>
        <v>0</v>
      </c>
      <c r="AB510" t="str">
        <f t="shared" si="75"/>
        <v>0</v>
      </c>
      <c r="AC510">
        <f t="shared" si="76"/>
        <v>0</v>
      </c>
      <c r="AD510">
        <f t="shared" si="77"/>
        <v>0</v>
      </c>
      <c r="AE510">
        <f t="shared" si="78"/>
        <v>1</v>
      </c>
      <c r="AF510">
        <f t="shared" si="79"/>
        <v>0</v>
      </c>
    </row>
    <row r="511" spans="1:32" x14ac:dyDescent="0.3">
      <c r="A511">
        <v>24</v>
      </c>
      <c r="B511">
        <v>43</v>
      </c>
      <c r="C511">
        <v>161</v>
      </c>
      <c r="D511">
        <f t="shared" si="70"/>
        <v>16.588866170286639</v>
      </c>
      <c r="E511">
        <f t="shared" si="71"/>
        <v>0</v>
      </c>
      <c r="F511">
        <v>54</v>
      </c>
      <c r="G511">
        <f t="shared" si="72"/>
        <v>11</v>
      </c>
      <c r="H511">
        <v>0</v>
      </c>
      <c r="J511">
        <v>0</v>
      </c>
      <c r="K511">
        <v>1</v>
      </c>
      <c r="L511">
        <v>1</v>
      </c>
      <c r="M511">
        <v>39</v>
      </c>
      <c r="N511">
        <v>0</v>
      </c>
      <c r="O511">
        <f t="shared" si="73"/>
        <v>39</v>
      </c>
      <c r="P511">
        <v>0</v>
      </c>
      <c r="Q511">
        <v>0</v>
      </c>
      <c r="R511">
        <v>3</v>
      </c>
      <c r="S511" t="s">
        <v>34</v>
      </c>
      <c r="T511">
        <v>0</v>
      </c>
      <c r="U511">
        <v>0</v>
      </c>
      <c r="V511">
        <v>3050</v>
      </c>
      <c r="W511">
        <v>8</v>
      </c>
      <c r="X511">
        <v>1</v>
      </c>
      <c r="Y511">
        <v>0</v>
      </c>
      <c r="AA511">
        <f t="shared" si="74"/>
        <v>0</v>
      </c>
      <c r="AB511" t="str">
        <f t="shared" si="75"/>
        <v>0</v>
      </c>
      <c r="AC511">
        <f t="shared" si="76"/>
        <v>0</v>
      </c>
      <c r="AD511">
        <f t="shared" si="77"/>
        <v>0</v>
      </c>
      <c r="AE511">
        <f t="shared" si="78"/>
        <v>1</v>
      </c>
      <c r="AF511">
        <f t="shared" si="79"/>
        <v>0</v>
      </c>
    </row>
    <row r="512" spans="1:32" x14ac:dyDescent="0.3">
      <c r="A512">
        <v>26</v>
      </c>
      <c r="B512">
        <v>55</v>
      </c>
      <c r="C512">
        <v>153</v>
      </c>
      <c r="D512">
        <f t="shared" si="70"/>
        <v>23.495236874706311</v>
      </c>
      <c r="E512">
        <f t="shared" si="71"/>
        <v>2</v>
      </c>
      <c r="F512">
        <v>62</v>
      </c>
      <c r="G512">
        <f t="shared" si="72"/>
        <v>7</v>
      </c>
      <c r="H512">
        <v>0</v>
      </c>
      <c r="J512">
        <v>0</v>
      </c>
      <c r="K512">
        <v>0</v>
      </c>
      <c r="L512">
        <v>0</v>
      </c>
      <c r="M512">
        <v>39</v>
      </c>
      <c r="N512">
        <v>6</v>
      </c>
      <c r="O512">
        <f t="shared" si="73"/>
        <v>39.857142857142854</v>
      </c>
      <c r="P512">
        <v>0</v>
      </c>
      <c r="Q512">
        <v>0</v>
      </c>
      <c r="R512">
        <v>2</v>
      </c>
      <c r="S512" t="s">
        <v>49</v>
      </c>
      <c r="T512">
        <v>0</v>
      </c>
      <c r="U512">
        <v>0</v>
      </c>
      <c r="V512">
        <v>3140</v>
      </c>
      <c r="W512">
        <v>8</v>
      </c>
      <c r="X512">
        <v>2</v>
      </c>
      <c r="Y512">
        <v>0</v>
      </c>
      <c r="AA512">
        <f t="shared" si="74"/>
        <v>0</v>
      </c>
      <c r="AB512" t="str">
        <f t="shared" si="75"/>
        <v>0</v>
      </c>
      <c r="AC512">
        <f t="shared" si="76"/>
        <v>0</v>
      </c>
      <c r="AD512">
        <f t="shared" si="77"/>
        <v>0</v>
      </c>
      <c r="AE512">
        <f t="shared" si="78"/>
        <v>0</v>
      </c>
      <c r="AF512">
        <f t="shared" si="79"/>
        <v>1</v>
      </c>
    </row>
    <row r="513" spans="1:32" x14ac:dyDescent="0.3">
      <c r="A513">
        <v>38</v>
      </c>
      <c r="B513">
        <v>63</v>
      </c>
      <c r="C513">
        <v>160</v>
      </c>
      <c r="D513">
        <f t="shared" si="70"/>
        <v>24.609374999999996</v>
      </c>
      <c r="E513">
        <f t="shared" si="71"/>
        <v>2</v>
      </c>
      <c r="F513">
        <v>79</v>
      </c>
      <c r="G513">
        <f t="shared" si="72"/>
        <v>16</v>
      </c>
      <c r="H513">
        <v>0</v>
      </c>
      <c r="J513">
        <v>0</v>
      </c>
      <c r="K513">
        <v>0</v>
      </c>
      <c r="L513">
        <v>1</v>
      </c>
      <c r="M513">
        <v>39</v>
      </c>
      <c r="N513">
        <v>6</v>
      </c>
      <c r="O513">
        <f t="shared" si="73"/>
        <v>39.857142857142854</v>
      </c>
      <c r="P513">
        <v>0</v>
      </c>
      <c r="Q513">
        <v>0</v>
      </c>
      <c r="R513">
        <v>0</v>
      </c>
      <c r="T513">
        <v>0</v>
      </c>
      <c r="U513">
        <v>0</v>
      </c>
      <c r="V513">
        <v>3770</v>
      </c>
      <c r="W513">
        <v>8</v>
      </c>
      <c r="X513">
        <v>1</v>
      </c>
      <c r="Y513">
        <v>0</v>
      </c>
      <c r="AA513">
        <f t="shared" si="74"/>
        <v>1</v>
      </c>
      <c r="AB513" t="str">
        <f t="shared" si="75"/>
        <v>2</v>
      </c>
      <c r="AC513">
        <f t="shared" si="76"/>
        <v>0</v>
      </c>
      <c r="AD513">
        <f t="shared" si="77"/>
        <v>0</v>
      </c>
      <c r="AE513">
        <f t="shared" si="78"/>
        <v>0</v>
      </c>
      <c r="AF513">
        <f t="shared" si="79"/>
        <v>0</v>
      </c>
    </row>
    <row r="514" spans="1:32" x14ac:dyDescent="0.3">
      <c r="A514">
        <v>23</v>
      </c>
      <c r="B514">
        <v>47</v>
      </c>
      <c r="C514">
        <v>165</v>
      </c>
      <c r="D514">
        <f t="shared" si="70"/>
        <v>17.263544536271812</v>
      </c>
      <c r="E514">
        <f t="shared" si="71"/>
        <v>0</v>
      </c>
      <c r="F514">
        <v>67</v>
      </c>
      <c r="G514">
        <f t="shared" si="72"/>
        <v>20</v>
      </c>
      <c r="H514">
        <v>0</v>
      </c>
      <c r="J514">
        <v>0</v>
      </c>
      <c r="K514">
        <v>0</v>
      </c>
      <c r="L514">
        <v>0</v>
      </c>
      <c r="M514">
        <v>40</v>
      </c>
      <c r="N514">
        <v>3</v>
      </c>
      <c r="O514">
        <f t="shared" si="73"/>
        <v>40.428571428571431</v>
      </c>
      <c r="P514">
        <v>0</v>
      </c>
      <c r="Q514">
        <v>0</v>
      </c>
      <c r="R514">
        <v>0</v>
      </c>
      <c r="T514">
        <v>0</v>
      </c>
      <c r="U514">
        <v>0</v>
      </c>
      <c r="V514">
        <v>2920</v>
      </c>
      <c r="W514">
        <v>7</v>
      </c>
      <c r="X514">
        <v>1</v>
      </c>
      <c r="Y514">
        <v>0</v>
      </c>
      <c r="AA514">
        <f t="shared" si="74"/>
        <v>1</v>
      </c>
      <c r="AB514" t="str">
        <f t="shared" si="75"/>
        <v>0</v>
      </c>
      <c r="AC514">
        <f t="shared" si="76"/>
        <v>0</v>
      </c>
      <c r="AD514">
        <f t="shared" si="77"/>
        <v>1</v>
      </c>
      <c r="AE514">
        <f t="shared" si="78"/>
        <v>0</v>
      </c>
      <c r="AF514">
        <f t="shared" si="79"/>
        <v>0</v>
      </c>
    </row>
    <row r="515" spans="1:32" x14ac:dyDescent="0.3">
      <c r="A515">
        <v>26</v>
      </c>
      <c r="B515">
        <v>55</v>
      </c>
      <c r="C515">
        <v>163</v>
      </c>
      <c r="D515">
        <f t="shared" si="70"/>
        <v>20.700816741315069</v>
      </c>
      <c r="E515">
        <f t="shared" si="71"/>
        <v>1</v>
      </c>
      <c r="F515">
        <v>82</v>
      </c>
      <c r="G515">
        <f t="shared" si="72"/>
        <v>27</v>
      </c>
      <c r="H515">
        <v>0</v>
      </c>
      <c r="J515">
        <v>0</v>
      </c>
      <c r="K515">
        <v>0</v>
      </c>
      <c r="L515">
        <v>0</v>
      </c>
      <c r="M515">
        <v>40</v>
      </c>
      <c r="N515">
        <v>0</v>
      </c>
      <c r="O515">
        <f t="shared" si="73"/>
        <v>40</v>
      </c>
      <c r="P515">
        <v>0</v>
      </c>
      <c r="Q515">
        <v>0</v>
      </c>
      <c r="R515">
        <v>0</v>
      </c>
      <c r="T515">
        <v>0</v>
      </c>
      <c r="U515">
        <v>0</v>
      </c>
      <c r="V515">
        <v>3550</v>
      </c>
      <c r="W515">
        <v>9</v>
      </c>
      <c r="X515">
        <v>1</v>
      </c>
      <c r="Y515">
        <v>0</v>
      </c>
      <c r="AA515">
        <f t="shared" si="74"/>
        <v>1</v>
      </c>
      <c r="AB515" t="str">
        <f t="shared" si="75"/>
        <v>0</v>
      </c>
      <c r="AC515">
        <f t="shared" si="76"/>
        <v>0</v>
      </c>
      <c r="AD515">
        <f t="shared" si="77"/>
        <v>0</v>
      </c>
      <c r="AE515">
        <f t="shared" si="78"/>
        <v>0</v>
      </c>
      <c r="AF515">
        <f t="shared" si="79"/>
        <v>0</v>
      </c>
    </row>
    <row r="516" spans="1:32" x14ac:dyDescent="0.3">
      <c r="A516">
        <v>46</v>
      </c>
      <c r="B516">
        <v>69</v>
      </c>
      <c r="C516">
        <v>166</v>
      </c>
      <c r="D516">
        <f t="shared" ref="D516:D579" si="80">B516/((C516/100)^2)</f>
        <v>25.039918710988534</v>
      </c>
      <c r="E516">
        <f t="shared" ref="E516:E579" si="81">IF(D516&lt;18.5,0,IF(D516&lt;23,1,IF(D516&lt;25,2,3)))</f>
        <v>3</v>
      </c>
      <c r="F516">
        <v>80</v>
      </c>
      <c r="G516">
        <f t="shared" ref="G516:G579" si="82">F516-B516</f>
        <v>11</v>
      </c>
      <c r="H516">
        <v>1</v>
      </c>
      <c r="I516" t="s">
        <v>79</v>
      </c>
      <c r="J516">
        <v>0</v>
      </c>
      <c r="K516">
        <v>0</v>
      </c>
      <c r="L516">
        <v>2</v>
      </c>
      <c r="M516">
        <v>38</v>
      </c>
      <c r="N516">
        <v>4</v>
      </c>
      <c r="O516">
        <f t="shared" ref="O516:O579" si="83">M516+(N516/7)</f>
        <v>38.571428571428569</v>
      </c>
      <c r="P516">
        <v>0</v>
      </c>
      <c r="Q516">
        <v>1</v>
      </c>
      <c r="R516">
        <v>3</v>
      </c>
      <c r="S516" t="s">
        <v>78</v>
      </c>
      <c r="T516">
        <v>0</v>
      </c>
      <c r="U516">
        <v>0</v>
      </c>
      <c r="V516">
        <v>2550</v>
      </c>
      <c r="W516">
        <v>8</v>
      </c>
      <c r="X516">
        <v>1</v>
      </c>
      <c r="Y516">
        <v>0</v>
      </c>
      <c r="AA516">
        <f t="shared" ref="AA516:AA579" si="84">IF(OR(AND(E516=0,G516&gt;18.2),AND(E516=1,G516&gt;15.9),AND(E516=2,G516&gt;11.3),AND(E516=3,G516&gt;9.1)),1,0)</f>
        <v>1</v>
      </c>
      <c r="AB516" t="str">
        <f t="shared" ref="AB516:AB579" si="85">IF(OR(AND(O516&lt;38,V516&gt;3324),AND(O516&lt;39,V516&gt;3540),AND(O516&lt;40,V516&gt;3726),AND(O516&lt;42,V516&gt;3871)),"2",IF(OR(AND(O516&gt;36.9,V516&lt;2323),AND(O516&gt;37.9,V516&lt;2496),AND(O516&gt;38.9,V516&lt;2658),AND(O516&gt;39.9,V516&lt;2805)),"1","0"))</f>
        <v>0</v>
      </c>
      <c r="AC516">
        <f t="shared" ref="AC516:AC579" si="86">IF(V516&lt;4000,0,1)</f>
        <v>0</v>
      </c>
      <c r="AD516">
        <f t="shared" ref="AD516:AD579" si="87">IF(W516&gt;7,0,1)</f>
        <v>0</v>
      </c>
      <c r="AE516">
        <f t="shared" ref="AE516:AE579" si="88">IF(R516=3,1,0)</f>
        <v>1</v>
      </c>
      <c r="AF516">
        <f t="shared" ref="AF516:AF579" si="89">IF(X516=2,1,0)</f>
        <v>0</v>
      </c>
    </row>
    <row r="517" spans="1:32" x14ac:dyDescent="0.3">
      <c r="A517">
        <v>28</v>
      </c>
      <c r="B517">
        <v>60</v>
      </c>
      <c r="C517">
        <v>155</v>
      </c>
      <c r="D517">
        <f t="shared" si="80"/>
        <v>24.973985431841829</v>
      </c>
      <c r="E517">
        <f t="shared" si="81"/>
        <v>2</v>
      </c>
      <c r="F517">
        <v>65</v>
      </c>
      <c r="G517">
        <f t="shared" si="82"/>
        <v>5</v>
      </c>
      <c r="H517">
        <v>1</v>
      </c>
      <c r="I517" t="s">
        <v>78</v>
      </c>
      <c r="J517">
        <v>0</v>
      </c>
      <c r="K517">
        <v>0</v>
      </c>
      <c r="L517">
        <v>0</v>
      </c>
      <c r="M517">
        <v>39</v>
      </c>
      <c r="N517">
        <v>6</v>
      </c>
      <c r="O517">
        <f t="shared" si="83"/>
        <v>39.857142857142854</v>
      </c>
      <c r="P517">
        <v>0</v>
      </c>
      <c r="Q517">
        <v>0</v>
      </c>
      <c r="R517">
        <v>0</v>
      </c>
      <c r="T517">
        <v>0</v>
      </c>
      <c r="U517">
        <v>0</v>
      </c>
      <c r="V517">
        <v>2730</v>
      </c>
      <c r="W517">
        <v>9</v>
      </c>
      <c r="X517">
        <v>1</v>
      </c>
      <c r="Y517">
        <v>0</v>
      </c>
      <c r="AA517">
        <f t="shared" si="84"/>
        <v>0</v>
      </c>
      <c r="AB517" t="str">
        <f t="shared" si="85"/>
        <v>0</v>
      </c>
      <c r="AC517">
        <f t="shared" si="86"/>
        <v>0</v>
      </c>
      <c r="AD517">
        <f t="shared" si="87"/>
        <v>0</v>
      </c>
      <c r="AE517">
        <f t="shared" si="88"/>
        <v>0</v>
      </c>
      <c r="AF517">
        <f t="shared" si="89"/>
        <v>0</v>
      </c>
    </row>
    <row r="518" spans="1:32" x14ac:dyDescent="0.3">
      <c r="A518">
        <v>19</v>
      </c>
      <c r="B518">
        <v>48</v>
      </c>
      <c r="C518">
        <v>167</v>
      </c>
      <c r="D518">
        <f t="shared" si="80"/>
        <v>17.21108680841909</v>
      </c>
      <c r="E518">
        <f t="shared" si="81"/>
        <v>0</v>
      </c>
      <c r="F518">
        <v>53</v>
      </c>
      <c r="G518">
        <f t="shared" si="82"/>
        <v>5</v>
      </c>
      <c r="H518">
        <v>1</v>
      </c>
      <c r="I518" t="s">
        <v>44</v>
      </c>
      <c r="J518">
        <v>0</v>
      </c>
      <c r="K518">
        <v>0</v>
      </c>
      <c r="L518">
        <v>0</v>
      </c>
      <c r="M518">
        <v>40</v>
      </c>
      <c r="N518">
        <v>3</v>
      </c>
      <c r="O518">
        <f t="shared" si="83"/>
        <v>40.428571428571431</v>
      </c>
      <c r="P518">
        <v>0</v>
      </c>
      <c r="Q518">
        <v>0</v>
      </c>
      <c r="R518">
        <v>0</v>
      </c>
      <c r="T518">
        <v>3</v>
      </c>
      <c r="U518">
        <v>0</v>
      </c>
      <c r="V518">
        <v>3700</v>
      </c>
      <c r="W518">
        <v>9</v>
      </c>
      <c r="X518">
        <v>1</v>
      </c>
      <c r="Y518">
        <v>0</v>
      </c>
      <c r="AA518">
        <f t="shared" si="84"/>
        <v>0</v>
      </c>
      <c r="AB518" t="str">
        <f t="shared" si="85"/>
        <v>0</v>
      </c>
      <c r="AC518">
        <f t="shared" si="86"/>
        <v>0</v>
      </c>
      <c r="AD518">
        <f t="shared" si="87"/>
        <v>0</v>
      </c>
      <c r="AE518">
        <f t="shared" si="88"/>
        <v>0</v>
      </c>
      <c r="AF518">
        <f t="shared" si="89"/>
        <v>0</v>
      </c>
    </row>
    <row r="519" spans="1:32" x14ac:dyDescent="0.3">
      <c r="A519">
        <v>27</v>
      </c>
      <c r="B519">
        <v>74</v>
      </c>
      <c r="C519">
        <v>160</v>
      </c>
      <c r="D519">
        <f t="shared" si="80"/>
        <v>28.906249999999993</v>
      </c>
      <c r="E519">
        <f t="shared" si="81"/>
        <v>3</v>
      </c>
      <c r="F519">
        <v>98</v>
      </c>
      <c r="G519">
        <f t="shared" si="82"/>
        <v>24</v>
      </c>
      <c r="H519">
        <v>1</v>
      </c>
      <c r="I519" t="s">
        <v>84</v>
      </c>
      <c r="J519">
        <v>0</v>
      </c>
      <c r="K519">
        <v>0</v>
      </c>
      <c r="L519">
        <v>0</v>
      </c>
      <c r="M519">
        <v>40</v>
      </c>
      <c r="N519">
        <v>1</v>
      </c>
      <c r="O519">
        <f t="shared" si="83"/>
        <v>40.142857142857146</v>
      </c>
      <c r="P519">
        <v>0</v>
      </c>
      <c r="Q519">
        <v>0</v>
      </c>
      <c r="R519">
        <v>3</v>
      </c>
      <c r="S519" t="s">
        <v>35</v>
      </c>
      <c r="T519">
        <v>0</v>
      </c>
      <c r="U519">
        <v>0</v>
      </c>
      <c r="V519">
        <v>3380</v>
      </c>
      <c r="W519">
        <v>8</v>
      </c>
      <c r="X519">
        <v>1</v>
      </c>
      <c r="Y519">
        <v>0</v>
      </c>
      <c r="AA519">
        <f t="shared" si="84"/>
        <v>1</v>
      </c>
      <c r="AB519" t="str">
        <f t="shared" si="85"/>
        <v>0</v>
      </c>
      <c r="AC519">
        <f t="shared" si="86"/>
        <v>0</v>
      </c>
      <c r="AD519">
        <f t="shared" si="87"/>
        <v>0</v>
      </c>
      <c r="AE519">
        <f t="shared" si="88"/>
        <v>1</v>
      </c>
      <c r="AF519">
        <f t="shared" si="89"/>
        <v>0</v>
      </c>
    </row>
    <row r="520" spans="1:32" x14ac:dyDescent="0.3">
      <c r="A520">
        <v>33</v>
      </c>
      <c r="B520">
        <v>84</v>
      </c>
      <c r="C520">
        <v>163</v>
      </c>
      <c r="D520">
        <f t="shared" si="80"/>
        <v>31.615792841281195</v>
      </c>
      <c r="E520">
        <f t="shared" si="81"/>
        <v>3</v>
      </c>
      <c r="F520">
        <v>102</v>
      </c>
      <c r="G520">
        <f t="shared" si="82"/>
        <v>18</v>
      </c>
      <c r="H520">
        <v>1</v>
      </c>
      <c r="I520" t="s">
        <v>32</v>
      </c>
      <c r="J520">
        <v>0</v>
      </c>
      <c r="K520">
        <v>0</v>
      </c>
      <c r="L520">
        <v>0</v>
      </c>
      <c r="M520">
        <v>38</v>
      </c>
      <c r="N520">
        <v>2</v>
      </c>
      <c r="O520">
        <f t="shared" si="83"/>
        <v>38.285714285714285</v>
      </c>
      <c r="P520">
        <v>0</v>
      </c>
      <c r="Q520">
        <v>1</v>
      </c>
      <c r="R520">
        <v>3</v>
      </c>
      <c r="S520" t="s">
        <v>35</v>
      </c>
      <c r="T520">
        <v>0</v>
      </c>
      <c r="U520">
        <v>0</v>
      </c>
      <c r="V520">
        <v>3950</v>
      </c>
      <c r="W520">
        <v>9</v>
      </c>
      <c r="X520">
        <v>1</v>
      </c>
      <c r="Y520">
        <v>0</v>
      </c>
      <c r="AA520">
        <f t="shared" si="84"/>
        <v>1</v>
      </c>
      <c r="AB520" t="str">
        <f t="shared" si="85"/>
        <v>2</v>
      </c>
      <c r="AC520">
        <f t="shared" si="86"/>
        <v>0</v>
      </c>
      <c r="AD520">
        <f t="shared" si="87"/>
        <v>0</v>
      </c>
      <c r="AE520">
        <f t="shared" si="88"/>
        <v>1</v>
      </c>
      <c r="AF520">
        <f t="shared" si="89"/>
        <v>0</v>
      </c>
    </row>
    <row r="521" spans="1:32" x14ac:dyDescent="0.3">
      <c r="A521">
        <v>36</v>
      </c>
      <c r="B521">
        <v>57</v>
      </c>
      <c r="C521">
        <v>165</v>
      </c>
      <c r="D521">
        <f t="shared" si="80"/>
        <v>20.936639118457304</v>
      </c>
      <c r="E521">
        <f t="shared" si="81"/>
        <v>1</v>
      </c>
      <c r="F521">
        <v>76</v>
      </c>
      <c r="G521">
        <f t="shared" si="82"/>
        <v>19</v>
      </c>
      <c r="H521">
        <v>0</v>
      </c>
      <c r="J521">
        <v>0</v>
      </c>
      <c r="K521">
        <v>1</v>
      </c>
      <c r="L521">
        <v>1</v>
      </c>
      <c r="M521">
        <v>38</v>
      </c>
      <c r="N521">
        <v>4</v>
      </c>
      <c r="O521">
        <f t="shared" si="83"/>
        <v>38.571428571428569</v>
      </c>
      <c r="P521">
        <v>0</v>
      </c>
      <c r="Q521">
        <v>0</v>
      </c>
      <c r="R521">
        <v>3</v>
      </c>
      <c r="S521" t="s">
        <v>34</v>
      </c>
      <c r="T521">
        <v>0</v>
      </c>
      <c r="U521">
        <v>0</v>
      </c>
      <c r="V521">
        <v>3250</v>
      </c>
      <c r="W521">
        <v>8</v>
      </c>
      <c r="X521">
        <v>1</v>
      </c>
      <c r="Y521">
        <v>0</v>
      </c>
      <c r="AA521">
        <f t="shared" si="84"/>
        <v>1</v>
      </c>
      <c r="AB521" t="str">
        <f t="shared" si="85"/>
        <v>0</v>
      </c>
      <c r="AC521">
        <f t="shared" si="86"/>
        <v>0</v>
      </c>
      <c r="AD521">
        <f t="shared" si="87"/>
        <v>0</v>
      </c>
      <c r="AE521">
        <f t="shared" si="88"/>
        <v>1</v>
      </c>
      <c r="AF521">
        <f t="shared" si="89"/>
        <v>0</v>
      </c>
    </row>
    <row r="522" spans="1:32" x14ac:dyDescent="0.3">
      <c r="A522">
        <v>40</v>
      </c>
      <c r="B522">
        <v>68</v>
      </c>
      <c r="C522">
        <v>158</v>
      </c>
      <c r="D522">
        <f t="shared" si="80"/>
        <v>27.239224483255885</v>
      </c>
      <c r="E522">
        <f t="shared" si="81"/>
        <v>3</v>
      </c>
      <c r="F522">
        <v>81</v>
      </c>
      <c r="G522">
        <f t="shared" si="82"/>
        <v>13</v>
      </c>
      <c r="H522">
        <v>1</v>
      </c>
      <c r="I522" t="s">
        <v>32</v>
      </c>
      <c r="J522">
        <v>0</v>
      </c>
      <c r="K522">
        <v>0</v>
      </c>
      <c r="L522">
        <v>1</v>
      </c>
      <c r="M522">
        <v>39</v>
      </c>
      <c r="N522">
        <v>3</v>
      </c>
      <c r="O522">
        <f t="shared" si="83"/>
        <v>39.428571428571431</v>
      </c>
      <c r="P522">
        <v>1</v>
      </c>
      <c r="Q522">
        <v>0</v>
      </c>
      <c r="R522">
        <v>0</v>
      </c>
      <c r="T522">
        <v>2</v>
      </c>
      <c r="U522">
        <v>0</v>
      </c>
      <c r="V522">
        <v>3510</v>
      </c>
      <c r="W522">
        <v>9</v>
      </c>
      <c r="X522">
        <v>1</v>
      </c>
      <c r="Y522">
        <v>0</v>
      </c>
      <c r="AA522">
        <f t="shared" si="84"/>
        <v>1</v>
      </c>
      <c r="AB522" t="str">
        <f t="shared" si="85"/>
        <v>0</v>
      </c>
      <c r="AC522">
        <f t="shared" si="86"/>
        <v>0</v>
      </c>
      <c r="AD522">
        <f t="shared" si="87"/>
        <v>0</v>
      </c>
      <c r="AE522">
        <f t="shared" si="88"/>
        <v>0</v>
      </c>
      <c r="AF522">
        <f t="shared" si="89"/>
        <v>0</v>
      </c>
    </row>
    <row r="523" spans="1:32" x14ac:dyDescent="0.3">
      <c r="A523">
        <v>25</v>
      </c>
      <c r="B523">
        <v>56</v>
      </c>
      <c r="C523">
        <v>163</v>
      </c>
      <c r="D523">
        <f t="shared" si="80"/>
        <v>21.077195227520797</v>
      </c>
      <c r="E523">
        <f t="shared" si="81"/>
        <v>1</v>
      </c>
      <c r="F523">
        <v>70</v>
      </c>
      <c r="G523">
        <f t="shared" si="82"/>
        <v>14</v>
      </c>
      <c r="H523">
        <v>0</v>
      </c>
      <c r="J523">
        <v>0</v>
      </c>
      <c r="K523">
        <v>0</v>
      </c>
      <c r="L523">
        <v>0</v>
      </c>
      <c r="M523">
        <v>39</v>
      </c>
      <c r="N523">
        <v>0</v>
      </c>
      <c r="O523">
        <f t="shared" si="83"/>
        <v>39</v>
      </c>
      <c r="P523">
        <v>0</v>
      </c>
      <c r="Q523">
        <v>0</v>
      </c>
      <c r="R523">
        <v>0</v>
      </c>
      <c r="T523">
        <v>0</v>
      </c>
      <c r="U523">
        <v>0</v>
      </c>
      <c r="V523">
        <v>3430</v>
      </c>
      <c r="W523">
        <v>9</v>
      </c>
      <c r="X523">
        <v>0</v>
      </c>
      <c r="Y523">
        <v>0</v>
      </c>
      <c r="AA523">
        <f t="shared" si="84"/>
        <v>0</v>
      </c>
      <c r="AB523" t="str">
        <f t="shared" si="85"/>
        <v>0</v>
      </c>
      <c r="AC523">
        <f t="shared" si="86"/>
        <v>0</v>
      </c>
      <c r="AD523">
        <f t="shared" si="87"/>
        <v>0</v>
      </c>
      <c r="AE523">
        <f t="shared" si="88"/>
        <v>0</v>
      </c>
      <c r="AF523">
        <f t="shared" si="89"/>
        <v>0</v>
      </c>
    </row>
    <row r="524" spans="1:32" x14ac:dyDescent="0.3">
      <c r="A524">
        <v>27</v>
      </c>
      <c r="B524">
        <v>70</v>
      </c>
      <c r="C524">
        <v>162</v>
      </c>
      <c r="D524">
        <f t="shared" si="80"/>
        <v>26.672763298277697</v>
      </c>
      <c r="E524">
        <f t="shared" si="81"/>
        <v>3</v>
      </c>
      <c r="F524">
        <v>89</v>
      </c>
      <c r="G524">
        <f t="shared" si="82"/>
        <v>19</v>
      </c>
      <c r="H524">
        <v>1</v>
      </c>
      <c r="I524" t="s">
        <v>32</v>
      </c>
      <c r="J524">
        <v>0</v>
      </c>
      <c r="K524">
        <v>1</v>
      </c>
      <c r="L524">
        <v>2</v>
      </c>
      <c r="M524">
        <v>38</v>
      </c>
      <c r="N524">
        <v>6</v>
      </c>
      <c r="O524">
        <f t="shared" si="83"/>
        <v>38.857142857142854</v>
      </c>
      <c r="P524">
        <v>1</v>
      </c>
      <c r="Q524">
        <v>0</v>
      </c>
      <c r="R524">
        <v>3</v>
      </c>
      <c r="S524" t="s">
        <v>34</v>
      </c>
      <c r="T524">
        <v>0</v>
      </c>
      <c r="U524">
        <v>0</v>
      </c>
      <c r="V524">
        <v>3789</v>
      </c>
      <c r="W524">
        <v>8</v>
      </c>
      <c r="X524">
        <v>1</v>
      </c>
      <c r="Y524">
        <v>1</v>
      </c>
      <c r="Z524" t="s">
        <v>38</v>
      </c>
      <c r="AA524">
        <f t="shared" si="84"/>
        <v>1</v>
      </c>
      <c r="AB524" t="str">
        <f t="shared" si="85"/>
        <v>2</v>
      </c>
      <c r="AC524">
        <f t="shared" si="86"/>
        <v>0</v>
      </c>
      <c r="AD524">
        <f t="shared" si="87"/>
        <v>0</v>
      </c>
      <c r="AE524">
        <f t="shared" si="88"/>
        <v>1</v>
      </c>
      <c r="AF524">
        <f t="shared" si="89"/>
        <v>0</v>
      </c>
    </row>
    <row r="525" spans="1:32" x14ac:dyDescent="0.3">
      <c r="A525">
        <v>25</v>
      </c>
      <c r="B525">
        <v>73</v>
      </c>
      <c r="C525">
        <v>160</v>
      </c>
      <c r="D525">
        <f t="shared" si="80"/>
        <v>28.515624999999993</v>
      </c>
      <c r="E525">
        <f t="shared" si="81"/>
        <v>3</v>
      </c>
      <c r="F525">
        <v>90</v>
      </c>
      <c r="G525">
        <f t="shared" si="82"/>
        <v>17</v>
      </c>
      <c r="H525">
        <v>1</v>
      </c>
      <c r="I525" t="s">
        <v>32</v>
      </c>
      <c r="J525">
        <v>0</v>
      </c>
      <c r="K525">
        <v>0</v>
      </c>
      <c r="L525">
        <v>1</v>
      </c>
      <c r="M525">
        <v>40</v>
      </c>
      <c r="N525">
        <v>3</v>
      </c>
      <c r="O525">
        <f t="shared" si="83"/>
        <v>40.428571428571431</v>
      </c>
      <c r="P525">
        <v>0</v>
      </c>
      <c r="Q525">
        <v>0</v>
      </c>
      <c r="R525">
        <v>0</v>
      </c>
      <c r="T525">
        <v>0</v>
      </c>
      <c r="U525">
        <v>0</v>
      </c>
      <c r="V525">
        <v>3770</v>
      </c>
      <c r="W525">
        <v>9</v>
      </c>
      <c r="X525">
        <v>1</v>
      </c>
      <c r="Y525">
        <v>0</v>
      </c>
      <c r="AA525">
        <f t="shared" si="84"/>
        <v>1</v>
      </c>
      <c r="AB525" t="str">
        <f t="shared" si="85"/>
        <v>0</v>
      </c>
      <c r="AC525">
        <f t="shared" si="86"/>
        <v>0</v>
      </c>
      <c r="AD525">
        <f t="shared" si="87"/>
        <v>0</v>
      </c>
      <c r="AE525">
        <f t="shared" si="88"/>
        <v>0</v>
      </c>
      <c r="AF525">
        <f t="shared" si="89"/>
        <v>0</v>
      </c>
    </row>
    <row r="526" spans="1:32" x14ac:dyDescent="0.3">
      <c r="A526">
        <v>28</v>
      </c>
      <c r="B526">
        <v>54</v>
      </c>
      <c r="C526">
        <v>159</v>
      </c>
      <c r="D526">
        <f t="shared" si="80"/>
        <v>21.359914560341757</v>
      </c>
      <c r="E526">
        <f t="shared" si="81"/>
        <v>1</v>
      </c>
      <c r="F526">
        <v>66</v>
      </c>
      <c r="G526">
        <f t="shared" si="82"/>
        <v>12</v>
      </c>
      <c r="H526">
        <v>0</v>
      </c>
      <c r="J526">
        <v>0</v>
      </c>
      <c r="K526">
        <v>0</v>
      </c>
      <c r="L526">
        <v>0</v>
      </c>
      <c r="M526">
        <v>38</v>
      </c>
      <c r="N526">
        <v>6</v>
      </c>
      <c r="O526">
        <f t="shared" si="83"/>
        <v>38.857142857142854</v>
      </c>
      <c r="P526">
        <v>0</v>
      </c>
      <c r="Q526">
        <v>0</v>
      </c>
      <c r="R526">
        <v>0</v>
      </c>
      <c r="T526">
        <v>0</v>
      </c>
      <c r="U526">
        <v>0</v>
      </c>
      <c r="V526">
        <v>2800</v>
      </c>
      <c r="W526">
        <v>9</v>
      </c>
      <c r="X526">
        <v>0</v>
      </c>
      <c r="Y526">
        <v>0</v>
      </c>
      <c r="AA526">
        <f t="shared" si="84"/>
        <v>0</v>
      </c>
      <c r="AB526" t="str">
        <f t="shared" si="85"/>
        <v>0</v>
      </c>
      <c r="AC526">
        <f t="shared" si="86"/>
        <v>0</v>
      </c>
      <c r="AD526">
        <f t="shared" si="87"/>
        <v>0</v>
      </c>
      <c r="AE526">
        <f t="shared" si="88"/>
        <v>0</v>
      </c>
      <c r="AF526">
        <f t="shared" si="89"/>
        <v>0</v>
      </c>
    </row>
    <row r="527" spans="1:32" x14ac:dyDescent="0.3">
      <c r="A527">
        <v>27</v>
      </c>
      <c r="B527">
        <v>75</v>
      </c>
      <c r="C527">
        <v>167</v>
      </c>
      <c r="D527">
        <f t="shared" si="80"/>
        <v>26.892323138154829</v>
      </c>
      <c r="E527">
        <f t="shared" si="81"/>
        <v>3</v>
      </c>
      <c r="F527">
        <v>92</v>
      </c>
      <c r="G527">
        <f t="shared" si="82"/>
        <v>17</v>
      </c>
      <c r="H527">
        <v>1</v>
      </c>
      <c r="I527" t="s">
        <v>32</v>
      </c>
      <c r="J527">
        <v>0</v>
      </c>
      <c r="K527">
        <v>1</v>
      </c>
      <c r="L527">
        <v>1</v>
      </c>
      <c r="M527">
        <v>39</v>
      </c>
      <c r="N527">
        <v>0</v>
      </c>
      <c r="O527">
        <f t="shared" si="83"/>
        <v>39</v>
      </c>
      <c r="P527">
        <v>0</v>
      </c>
      <c r="Q527">
        <v>0</v>
      </c>
      <c r="R527">
        <v>3</v>
      </c>
      <c r="S527" t="s">
        <v>34</v>
      </c>
      <c r="T527">
        <v>0</v>
      </c>
      <c r="U527">
        <v>0</v>
      </c>
      <c r="V527">
        <v>3550</v>
      </c>
      <c r="W527">
        <v>8</v>
      </c>
      <c r="X527">
        <v>1</v>
      </c>
      <c r="Y527">
        <v>0</v>
      </c>
      <c r="AA527">
        <f t="shared" si="84"/>
        <v>1</v>
      </c>
      <c r="AB527" t="str">
        <f t="shared" si="85"/>
        <v>0</v>
      </c>
      <c r="AC527">
        <f t="shared" si="86"/>
        <v>0</v>
      </c>
      <c r="AD527">
        <f t="shared" si="87"/>
        <v>0</v>
      </c>
      <c r="AE527">
        <f t="shared" si="88"/>
        <v>1</v>
      </c>
      <c r="AF527">
        <f t="shared" si="89"/>
        <v>0</v>
      </c>
    </row>
    <row r="528" spans="1:32" x14ac:dyDescent="0.3">
      <c r="A528">
        <v>35</v>
      </c>
      <c r="B528">
        <v>85</v>
      </c>
      <c r="C528">
        <v>168</v>
      </c>
      <c r="D528">
        <f t="shared" si="80"/>
        <v>30.116213151927443</v>
      </c>
      <c r="E528">
        <f t="shared" si="81"/>
        <v>3</v>
      </c>
      <c r="F528">
        <v>97</v>
      </c>
      <c r="G528">
        <f t="shared" si="82"/>
        <v>12</v>
      </c>
      <c r="H528">
        <v>1</v>
      </c>
      <c r="I528" t="s">
        <v>32</v>
      </c>
      <c r="J528">
        <v>0</v>
      </c>
      <c r="K528">
        <v>1</v>
      </c>
      <c r="L528">
        <v>2</v>
      </c>
      <c r="M528">
        <v>38</v>
      </c>
      <c r="N528">
        <v>5</v>
      </c>
      <c r="O528">
        <f t="shared" si="83"/>
        <v>38.714285714285715</v>
      </c>
      <c r="P528">
        <v>0</v>
      </c>
      <c r="Q528">
        <v>0</v>
      </c>
      <c r="R528">
        <v>3</v>
      </c>
      <c r="S528" t="s">
        <v>34</v>
      </c>
      <c r="T528">
        <v>0</v>
      </c>
      <c r="U528">
        <v>0</v>
      </c>
      <c r="V528">
        <v>3550</v>
      </c>
      <c r="W528">
        <v>9</v>
      </c>
      <c r="X528">
        <v>1</v>
      </c>
      <c r="Y528">
        <v>0</v>
      </c>
      <c r="AA528">
        <f t="shared" si="84"/>
        <v>1</v>
      </c>
      <c r="AB528" t="str">
        <f t="shared" si="85"/>
        <v>2</v>
      </c>
      <c r="AC528">
        <f t="shared" si="86"/>
        <v>0</v>
      </c>
      <c r="AD528">
        <f t="shared" si="87"/>
        <v>0</v>
      </c>
      <c r="AE528">
        <f t="shared" si="88"/>
        <v>1</v>
      </c>
      <c r="AF528">
        <f t="shared" si="89"/>
        <v>0</v>
      </c>
    </row>
    <row r="529" spans="1:32" x14ac:dyDescent="0.3">
      <c r="A529">
        <v>33</v>
      </c>
      <c r="B529">
        <v>59</v>
      </c>
      <c r="C529">
        <v>160</v>
      </c>
      <c r="D529">
        <f t="shared" si="80"/>
        <v>23.046874999999996</v>
      </c>
      <c r="E529">
        <f t="shared" si="81"/>
        <v>2</v>
      </c>
      <c r="F529">
        <v>79.5</v>
      </c>
      <c r="G529">
        <f t="shared" si="82"/>
        <v>20.5</v>
      </c>
      <c r="H529">
        <v>1</v>
      </c>
      <c r="I529" t="s">
        <v>78</v>
      </c>
      <c r="J529">
        <v>0</v>
      </c>
      <c r="K529">
        <v>0</v>
      </c>
      <c r="L529">
        <v>3</v>
      </c>
      <c r="M529">
        <v>40</v>
      </c>
      <c r="N529">
        <v>1</v>
      </c>
      <c r="O529">
        <f t="shared" si="83"/>
        <v>40.142857142857146</v>
      </c>
      <c r="P529">
        <v>0</v>
      </c>
      <c r="Q529">
        <v>0</v>
      </c>
      <c r="R529">
        <v>3</v>
      </c>
      <c r="S529" t="s">
        <v>78</v>
      </c>
      <c r="T529">
        <v>0</v>
      </c>
      <c r="U529">
        <v>0</v>
      </c>
      <c r="V529">
        <v>2980</v>
      </c>
      <c r="W529">
        <v>8</v>
      </c>
      <c r="X529">
        <v>1</v>
      </c>
      <c r="Y529">
        <v>0</v>
      </c>
      <c r="AA529">
        <f t="shared" si="84"/>
        <v>1</v>
      </c>
      <c r="AB529" t="str">
        <f t="shared" si="85"/>
        <v>0</v>
      </c>
      <c r="AC529">
        <f t="shared" si="86"/>
        <v>0</v>
      </c>
      <c r="AD529">
        <f t="shared" si="87"/>
        <v>0</v>
      </c>
      <c r="AE529">
        <f t="shared" si="88"/>
        <v>1</v>
      </c>
      <c r="AF529">
        <f t="shared" si="89"/>
        <v>0</v>
      </c>
    </row>
    <row r="530" spans="1:32" x14ac:dyDescent="0.3">
      <c r="A530">
        <v>21</v>
      </c>
      <c r="B530">
        <v>48</v>
      </c>
      <c r="C530">
        <v>150</v>
      </c>
      <c r="D530">
        <f t="shared" si="80"/>
        <v>21.333333333333332</v>
      </c>
      <c r="E530">
        <f t="shared" si="81"/>
        <v>1</v>
      </c>
      <c r="F530">
        <v>52</v>
      </c>
      <c r="G530">
        <f t="shared" si="82"/>
        <v>4</v>
      </c>
      <c r="H530">
        <v>1</v>
      </c>
      <c r="I530" t="s">
        <v>85</v>
      </c>
      <c r="J530">
        <v>0</v>
      </c>
      <c r="K530">
        <v>0</v>
      </c>
      <c r="L530">
        <v>0</v>
      </c>
      <c r="M530">
        <v>38</v>
      </c>
      <c r="N530">
        <v>5</v>
      </c>
      <c r="O530">
        <f t="shared" si="83"/>
        <v>38.714285714285715</v>
      </c>
      <c r="P530">
        <v>0</v>
      </c>
      <c r="Q530">
        <v>0</v>
      </c>
      <c r="R530">
        <v>0</v>
      </c>
      <c r="T530">
        <v>0</v>
      </c>
      <c r="U530">
        <v>0</v>
      </c>
      <c r="V530">
        <v>2520</v>
      </c>
      <c r="W530">
        <v>9</v>
      </c>
      <c r="X530">
        <v>1</v>
      </c>
      <c r="Y530">
        <v>0</v>
      </c>
      <c r="AA530">
        <f t="shared" si="84"/>
        <v>0</v>
      </c>
      <c r="AB530" t="str">
        <f t="shared" si="85"/>
        <v>0</v>
      </c>
      <c r="AC530">
        <f t="shared" si="86"/>
        <v>0</v>
      </c>
      <c r="AD530">
        <f t="shared" si="87"/>
        <v>0</v>
      </c>
      <c r="AE530">
        <f t="shared" si="88"/>
        <v>0</v>
      </c>
      <c r="AF530">
        <f t="shared" si="89"/>
        <v>0</v>
      </c>
    </row>
    <row r="531" spans="1:32" x14ac:dyDescent="0.3">
      <c r="A531">
        <v>23</v>
      </c>
      <c r="B531">
        <v>50</v>
      </c>
      <c r="C531">
        <v>160</v>
      </c>
      <c r="D531">
        <f t="shared" si="80"/>
        <v>19.531249999999996</v>
      </c>
      <c r="E531">
        <f t="shared" si="81"/>
        <v>1</v>
      </c>
      <c r="F531">
        <v>61</v>
      </c>
      <c r="G531">
        <f t="shared" si="82"/>
        <v>11</v>
      </c>
      <c r="H531">
        <v>0</v>
      </c>
      <c r="J531">
        <v>0</v>
      </c>
      <c r="K531">
        <v>0</v>
      </c>
      <c r="L531">
        <v>0</v>
      </c>
      <c r="M531">
        <v>39</v>
      </c>
      <c r="N531">
        <v>5</v>
      </c>
      <c r="O531">
        <f t="shared" si="83"/>
        <v>39.714285714285715</v>
      </c>
      <c r="P531">
        <v>0</v>
      </c>
      <c r="Q531">
        <v>0</v>
      </c>
      <c r="R531">
        <v>0</v>
      </c>
      <c r="T531">
        <v>0</v>
      </c>
      <c r="U531">
        <v>0</v>
      </c>
      <c r="V531">
        <v>2970</v>
      </c>
      <c r="W531">
        <v>9</v>
      </c>
      <c r="X531">
        <v>1</v>
      </c>
      <c r="Y531">
        <v>0</v>
      </c>
      <c r="AA531">
        <f t="shared" si="84"/>
        <v>0</v>
      </c>
      <c r="AB531" t="str">
        <f t="shared" si="85"/>
        <v>0</v>
      </c>
      <c r="AC531">
        <f t="shared" si="86"/>
        <v>0</v>
      </c>
      <c r="AD531">
        <f t="shared" si="87"/>
        <v>0</v>
      </c>
      <c r="AE531">
        <f t="shared" si="88"/>
        <v>0</v>
      </c>
      <c r="AF531">
        <f t="shared" si="89"/>
        <v>0</v>
      </c>
    </row>
    <row r="532" spans="1:32" x14ac:dyDescent="0.3">
      <c r="A532">
        <v>25</v>
      </c>
      <c r="B532">
        <v>60</v>
      </c>
      <c r="C532">
        <v>160</v>
      </c>
      <c r="D532">
        <f t="shared" si="80"/>
        <v>23.437499999999996</v>
      </c>
      <c r="E532">
        <f t="shared" si="81"/>
        <v>2</v>
      </c>
      <c r="F532">
        <v>85</v>
      </c>
      <c r="G532">
        <f t="shared" si="82"/>
        <v>25</v>
      </c>
      <c r="H532">
        <v>0</v>
      </c>
      <c r="J532">
        <v>0</v>
      </c>
      <c r="K532">
        <v>0</v>
      </c>
      <c r="L532">
        <v>0</v>
      </c>
      <c r="M532">
        <v>40</v>
      </c>
      <c r="N532">
        <v>5</v>
      </c>
      <c r="O532">
        <f t="shared" si="83"/>
        <v>40.714285714285715</v>
      </c>
      <c r="P532">
        <v>1</v>
      </c>
      <c r="Q532">
        <v>0</v>
      </c>
      <c r="R532">
        <v>3</v>
      </c>
      <c r="S532" t="s">
        <v>35</v>
      </c>
      <c r="T532">
        <v>0</v>
      </c>
      <c r="U532">
        <v>0</v>
      </c>
      <c r="V532">
        <v>3420</v>
      </c>
      <c r="W532">
        <v>9</v>
      </c>
      <c r="X532">
        <v>1</v>
      </c>
      <c r="Y532">
        <v>1</v>
      </c>
      <c r="Z532" t="s">
        <v>69</v>
      </c>
      <c r="AA532">
        <f t="shared" si="84"/>
        <v>1</v>
      </c>
      <c r="AB532" t="str">
        <f t="shared" si="85"/>
        <v>0</v>
      </c>
      <c r="AC532">
        <f t="shared" si="86"/>
        <v>0</v>
      </c>
      <c r="AD532">
        <f t="shared" si="87"/>
        <v>0</v>
      </c>
      <c r="AE532">
        <f t="shared" si="88"/>
        <v>1</v>
      </c>
      <c r="AF532">
        <f t="shared" si="89"/>
        <v>0</v>
      </c>
    </row>
    <row r="533" spans="1:32" x14ac:dyDescent="0.3">
      <c r="A533">
        <v>27</v>
      </c>
      <c r="B533">
        <v>47</v>
      </c>
      <c r="C533">
        <v>152</v>
      </c>
      <c r="D533">
        <f t="shared" si="80"/>
        <v>20.342797783933516</v>
      </c>
      <c r="E533">
        <f t="shared" si="81"/>
        <v>1</v>
      </c>
      <c r="F533">
        <v>65</v>
      </c>
      <c r="G533">
        <f t="shared" si="82"/>
        <v>18</v>
      </c>
      <c r="H533">
        <v>0</v>
      </c>
      <c r="J533">
        <v>0</v>
      </c>
      <c r="K533">
        <v>0</v>
      </c>
      <c r="L533">
        <v>0</v>
      </c>
      <c r="M533">
        <v>39</v>
      </c>
      <c r="N533">
        <v>0</v>
      </c>
      <c r="O533">
        <f t="shared" si="83"/>
        <v>39</v>
      </c>
      <c r="P533">
        <v>0</v>
      </c>
      <c r="Q533">
        <v>0</v>
      </c>
      <c r="R533">
        <v>3</v>
      </c>
      <c r="S533" t="s">
        <v>49</v>
      </c>
      <c r="T533">
        <v>0</v>
      </c>
      <c r="U533">
        <v>0</v>
      </c>
      <c r="V533">
        <v>3130</v>
      </c>
      <c r="W533">
        <v>9</v>
      </c>
      <c r="X533">
        <v>1</v>
      </c>
      <c r="Y533">
        <v>0</v>
      </c>
      <c r="AA533">
        <f t="shared" si="84"/>
        <v>1</v>
      </c>
      <c r="AB533" t="str">
        <f t="shared" si="85"/>
        <v>0</v>
      </c>
      <c r="AC533">
        <f t="shared" si="86"/>
        <v>0</v>
      </c>
      <c r="AD533">
        <f t="shared" si="87"/>
        <v>0</v>
      </c>
      <c r="AE533">
        <f t="shared" si="88"/>
        <v>1</v>
      </c>
      <c r="AF533">
        <f t="shared" si="89"/>
        <v>0</v>
      </c>
    </row>
    <row r="534" spans="1:32" x14ac:dyDescent="0.3">
      <c r="A534">
        <v>18</v>
      </c>
      <c r="B534">
        <v>50</v>
      </c>
      <c r="C534">
        <v>163</v>
      </c>
      <c r="D534">
        <f t="shared" si="80"/>
        <v>18.818924310286427</v>
      </c>
      <c r="E534">
        <f t="shared" si="81"/>
        <v>1</v>
      </c>
      <c r="F534">
        <v>59</v>
      </c>
      <c r="G534">
        <f t="shared" si="82"/>
        <v>9</v>
      </c>
      <c r="H534">
        <v>1</v>
      </c>
      <c r="I534" t="s">
        <v>44</v>
      </c>
      <c r="J534">
        <v>0</v>
      </c>
      <c r="K534">
        <v>0</v>
      </c>
      <c r="L534">
        <v>0</v>
      </c>
      <c r="M534">
        <v>39</v>
      </c>
      <c r="N534">
        <v>2</v>
      </c>
      <c r="O534">
        <f t="shared" si="83"/>
        <v>39.285714285714285</v>
      </c>
      <c r="P534">
        <v>1</v>
      </c>
      <c r="Q534">
        <v>0</v>
      </c>
      <c r="R534">
        <v>0</v>
      </c>
      <c r="T534">
        <v>0</v>
      </c>
      <c r="U534">
        <v>0</v>
      </c>
      <c r="V534">
        <v>2870</v>
      </c>
      <c r="W534">
        <v>9</v>
      </c>
      <c r="X534">
        <v>1</v>
      </c>
      <c r="Y534">
        <v>0</v>
      </c>
      <c r="AA534">
        <f t="shared" si="84"/>
        <v>0</v>
      </c>
      <c r="AB534" t="str">
        <f t="shared" si="85"/>
        <v>0</v>
      </c>
      <c r="AC534">
        <f t="shared" si="86"/>
        <v>0</v>
      </c>
      <c r="AD534">
        <f t="shared" si="87"/>
        <v>0</v>
      </c>
      <c r="AE534">
        <f t="shared" si="88"/>
        <v>0</v>
      </c>
      <c r="AF534">
        <f t="shared" si="89"/>
        <v>0</v>
      </c>
    </row>
    <row r="535" spans="1:32" x14ac:dyDescent="0.3">
      <c r="A535">
        <v>20</v>
      </c>
      <c r="B535">
        <v>73</v>
      </c>
      <c r="C535">
        <v>167</v>
      </c>
      <c r="D535">
        <f t="shared" si="80"/>
        <v>26.175194521137367</v>
      </c>
      <c r="E535">
        <f t="shared" si="81"/>
        <v>3</v>
      </c>
      <c r="F535">
        <v>83</v>
      </c>
      <c r="G535">
        <f t="shared" si="82"/>
        <v>10</v>
      </c>
      <c r="H535">
        <v>1</v>
      </c>
      <c r="I535" t="s">
        <v>32</v>
      </c>
      <c r="J535">
        <v>0</v>
      </c>
      <c r="K535">
        <v>0</v>
      </c>
      <c r="L535">
        <v>0</v>
      </c>
      <c r="M535">
        <v>38</v>
      </c>
      <c r="N535">
        <v>6</v>
      </c>
      <c r="O535">
        <f t="shared" si="83"/>
        <v>38.857142857142854</v>
      </c>
      <c r="P535">
        <v>0</v>
      </c>
      <c r="Q535">
        <v>0</v>
      </c>
      <c r="R535">
        <v>0</v>
      </c>
      <c r="T535">
        <v>0</v>
      </c>
      <c r="U535">
        <v>0</v>
      </c>
      <c r="V535">
        <v>2700</v>
      </c>
      <c r="W535">
        <v>9</v>
      </c>
      <c r="X535">
        <v>0</v>
      </c>
      <c r="Y535">
        <v>0</v>
      </c>
      <c r="AA535">
        <f t="shared" si="84"/>
        <v>1</v>
      </c>
      <c r="AB535" t="str">
        <f t="shared" si="85"/>
        <v>0</v>
      </c>
      <c r="AC535">
        <f t="shared" si="86"/>
        <v>0</v>
      </c>
      <c r="AD535">
        <f t="shared" si="87"/>
        <v>0</v>
      </c>
      <c r="AE535">
        <f t="shared" si="88"/>
        <v>0</v>
      </c>
      <c r="AF535">
        <f t="shared" si="89"/>
        <v>0</v>
      </c>
    </row>
    <row r="536" spans="1:32" x14ac:dyDescent="0.3">
      <c r="A536">
        <v>40</v>
      </c>
      <c r="B536">
        <v>56.1</v>
      </c>
      <c r="C536">
        <v>168</v>
      </c>
      <c r="D536">
        <f t="shared" si="80"/>
        <v>19.876700680272112</v>
      </c>
      <c r="E536">
        <f t="shared" si="81"/>
        <v>1</v>
      </c>
      <c r="F536">
        <v>80</v>
      </c>
      <c r="G536">
        <f t="shared" si="82"/>
        <v>23.9</v>
      </c>
      <c r="H536">
        <v>0</v>
      </c>
      <c r="J536">
        <v>0</v>
      </c>
      <c r="K536">
        <v>0</v>
      </c>
      <c r="L536">
        <v>2</v>
      </c>
      <c r="M536">
        <v>39</v>
      </c>
      <c r="N536">
        <v>3</v>
      </c>
      <c r="O536">
        <f t="shared" si="83"/>
        <v>39.428571428571431</v>
      </c>
      <c r="P536">
        <v>0</v>
      </c>
      <c r="Q536">
        <v>1</v>
      </c>
      <c r="R536">
        <v>3</v>
      </c>
      <c r="S536" t="s">
        <v>49</v>
      </c>
      <c r="T536">
        <v>0</v>
      </c>
      <c r="U536">
        <v>0</v>
      </c>
      <c r="V536">
        <v>2780</v>
      </c>
      <c r="W536">
        <v>9</v>
      </c>
      <c r="X536">
        <v>1</v>
      </c>
      <c r="Y536">
        <v>0</v>
      </c>
      <c r="AA536">
        <f t="shared" si="84"/>
        <v>1</v>
      </c>
      <c r="AB536" t="str">
        <f t="shared" si="85"/>
        <v>0</v>
      </c>
      <c r="AC536">
        <f t="shared" si="86"/>
        <v>0</v>
      </c>
      <c r="AD536">
        <f t="shared" si="87"/>
        <v>0</v>
      </c>
      <c r="AE536">
        <f t="shared" si="88"/>
        <v>1</v>
      </c>
      <c r="AF536">
        <f t="shared" si="89"/>
        <v>0</v>
      </c>
    </row>
    <row r="537" spans="1:32" x14ac:dyDescent="0.3">
      <c r="A537">
        <v>38</v>
      </c>
      <c r="B537">
        <v>52</v>
      </c>
      <c r="C537">
        <v>148</v>
      </c>
      <c r="D537">
        <f t="shared" si="80"/>
        <v>23.739956172388606</v>
      </c>
      <c r="E537">
        <f t="shared" si="81"/>
        <v>2</v>
      </c>
      <c r="F537">
        <v>55</v>
      </c>
      <c r="G537">
        <f t="shared" si="82"/>
        <v>3</v>
      </c>
      <c r="H537">
        <v>0</v>
      </c>
      <c r="J537">
        <v>0</v>
      </c>
      <c r="K537">
        <v>1</v>
      </c>
      <c r="L537">
        <v>2</v>
      </c>
      <c r="M537">
        <v>38</v>
      </c>
      <c r="N537">
        <v>5</v>
      </c>
      <c r="O537">
        <f t="shared" si="83"/>
        <v>38.714285714285715</v>
      </c>
      <c r="P537">
        <v>0</v>
      </c>
      <c r="Q537">
        <v>0</v>
      </c>
      <c r="R537">
        <v>3</v>
      </c>
      <c r="S537" t="s">
        <v>83</v>
      </c>
      <c r="T537">
        <v>0</v>
      </c>
      <c r="U537">
        <v>0</v>
      </c>
      <c r="V537">
        <v>2530</v>
      </c>
      <c r="W537">
        <v>9</v>
      </c>
      <c r="X537">
        <v>1</v>
      </c>
      <c r="Y537">
        <v>0</v>
      </c>
      <c r="AA537">
        <f t="shared" si="84"/>
        <v>0</v>
      </c>
      <c r="AB537" t="str">
        <f t="shared" si="85"/>
        <v>0</v>
      </c>
      <c r="AC537">
        <f t="shared" si="86"/>
        <v>0</v>
      </c>
      <c r="AD537">
        <f t="shared" si="87"/>
        <v>0</v>
      </c>
      <c r="AE537">
        <f t="shared" si="88"/>
        <v>1</v>
      </c>
      <c r="AF537">
        <f t="shared" si="89"/>
        <v>0</v>
      </c>
    </row>
    <row r="538" spans="1:32" x14ac:dyDescent="0.3">
      <c r="A538">
        <v>28</v>
      </c>
      <c r="B538">
        <v>57</v>
      </c>
      <c r="C538">
        <v>155</v>
      </c>
      <c r="D538">
        <f t="shared" si="80"/>
        <v>23.725286160249738</v>
      </c>
      <c r="E538">
        <f t="shared" si="81"/>
        <v>2</v>
      </c>
      <c r="F538">
        <v>72</v>
      </c>
      <c r="G538">
        <f t="shared" si="82"/>
        <v>15</v>
      </c>
      <c r="H538">
        <v>0</v>
      </c>
      <c r="J538">
        <v>0</v>
      </c>
      <c r="K538">
        <v>0</v>
      </c>
      <c r="L538">
        <v>0</v>
      </c>
      <c r="M538">
        <v>38</v>
      </c>
      <c r="N538">
        <v>1</v>
      </c>
      <c r="O538">
        <f t="shared" si="83"/>
        <v>38.142857142857146</v>
      </c>
      <c r="P538">
        <v>0</v>
      </c>
      <c r="Q538">
        <v>0</v>
      </c>
      <c r="R538">
        <v>0</v>
      </c>
      <c r="T538">
        <v>0</v>
      </c>
      <c r="U538">
        <v>0</v>
      </c>
      <c r="V538">
        <v>2710</v>
      </c>
      <c r="W538">
        <v>8</v>
      </c>
      <c r="X538">
        <v>1</v>
      </c>
      <c r="Y538">
        <v>0</v>
      </c>
      <c r="AA538">
        <f t="shared" si="84"/>
        <v>1</v>
      </c>
      <c r="AB538" t="str">
        <f t="shared" si="85"/>
        <v>0</v>
      </c>
      <c r="AC538">
        <f t="shared" si="86"/>
        <v>0</v>
      </c>
      <c r="AD538">
        <f t="shared" si="87"/>
        <v>0</v>
      </c>
      <c r="AE538">
        <f t="shared" si="88"/>
        <v>0</v>
      </c>
      <c r="AF538">
        <f t="shared" si="89"/>
        <v>0</v>
      </c>
    </row>
    <row r="539" spans="1:32" x14ac:dyDescent="0.3">
      <c r="A539">
        <v>28</v>
      </c>
      <c r="B539">
        <v>68</v>
      </c>
      <c r="C539">
        <v>167</v>
      </c>
      <c r="D539">
        <f t="shared" si="80"/>
        <v>24.382372978593711</v>
      </c>
      <c r="E539">
        <f t="shared" si="81"/>
        <v>2</v>
      </c>
      <c r="F539">
        <v>75</v>
      </c>
      <c r="G539">
        <f t="shared" si="82"/>
        <v>7</v>
      </c>
      <c r="H539">
        <v>0</v>
      </c>
      <c r="J539">
        <v>0</v>
      </c>
      <c r="K539">
        <v>0</v>
      </c>
      <c r="L539">
        <v>1</v>
      </c>
      <c r="M539">
        <v>38</v>
      </c>
      <c r="N539">
        <v>2</v>
      </c>
      <c r="O539">
        <f t="shared" si="83"/>
        <v>38.285714285714285</v>
      </c>
      <c r="P539">
        <v>0</v>
      </c>
      <c r="Q539">
        <v>0</v>
      </c>
      <c r="R539">
        <v>0</v>
      </c>
      <c r="T539">
        <v>0</v>
      </c>
      <c r="U539">
        <v>0</v>
      </c>
      <c r="V539">
        <v>3160</v>
      </c>
      <c r="W539">
        <v>9</v>
      </c>
      <c r="X539">
        <v>1</v>
      </c>
      <c r="Y539">
        <v>1</v>
      </c>
      <c r="Z539" t="s">
        <v>64</v>
      </c>
      <c r="AA539">
        <f t="shared" si="84"/>
        <v>0</v>
      </c>
      <c r="AB539" t="str">
        <f t="shared" si="85"/>
        <v>0</v>
      </c>
      <c r="AC539">
        <f t="shared" si="86"/>
        <v>0</v>
      </c>
      <c r="AD539">
        <f t="shared" si="87"/>
        <v>0</v>
      </c>
      <c r="AE539">
        <f t="shared" si="88"/>
        <v>0</v>
      </c>
      <c r="AF539">
        <f t="shared" si="89"/>
        <v>0</v>
      </c>
    </row>
    <row r="540" spans="1:32" x14ac:dyDescent="0.3">
      <c r="A540">
        <v>32</v>
      </c>
      <c r="B540">
        <v>48</v>
      </c>
      <c r="C540">
        <v>158</v>
      </c>
      <c r="D540">
        <f t="shared" si="80"/>
        <v>19.227687870533565</v>
      </c>
      <c r="E540">
        <f t="shared" si="81"/>
        <v>1</v>
      </c>
      <c r="F540">
        <v>62</v>
      </c>
      <c r="G540">
        <f t="shared" si="82"/>
        <v>14</v>
      </c>
      <c r="H540">
        <v>0</v>
      </c>
      <c r="J540">
        <v>0</v>
      </c>
      <c r="K540">
        <v>0</v>
      </c>
      <c r="L540">
        <v>0</v>
      </c>
      <c r="M540">
        <v>40</v>
      </c>
      <c r="N540">
        <v>2</v>
      </c>
      <c r="O540">
        <f t="shared" si="83"/>
        <v>40.285714285714285</v>
      </c>
      <c r="P540">
        <v>1</v>
      </c>
      <c r="Q540">
        <v>0</v>
      </c>
      <c r="R540">
        <v>0</v>
      </c>
      <c r="T540">
        <v>0</v>
      </c>
      <c r="U540">
        <v>0</v>
      </c>
      <c r="V540">
        <v>3060</v>
      </c>
      <c r="W540">
        <v>9</v>
      </c>
      <c r="X540">
        <v>1</v>
      </c>
      <c r="Y540">
        <v>0</v>
      </c>
      <c r="AA540">
        <f t="shared" si="84"/>
        <v>0</v>
      </c>
      <c r="AB540" t="str">
        <f t="shared" si="85"/>
        <v>0</v>
      </c>
      <c r="AC540">
        <f t="shared" si="86"/>
        <v>0</v>
      </c>
      <c r="AD540">
        <f t="shared" si="87"/>
        <v>0</v>
      </c>
      <c r="AE540">
        <f t="shared" si="88"/>
        <v>0</v>
      </c>
      <c r="AF540">
        <f t="shared" si="89"/>
        <v>0</v>
      </c>
    </row>
    <row r="541" spans="1:32" x14ac:dyDescent="0.3">
      <c r="A541">
        <v>24</v>
      </c>
      <c r="B541">
        <v>60</v>
      </c>
      <c r="C541">
        <v>160</v>
      </c>
      <c r="D541">
        <f t="shared" si="80"/>
        <v>23.437499999999996</v>
      </c>
      <c r="E541">
        <f t="shared" si="81"/>
        <v>2</v>
      </c>
      <c r="F541">
        <v>68</v>
      </c>
      <c r="G541">
        <f t="shared" si="82"/>
        <v>8</v>
      </c>
      <c r="H541">
        <v>0</v>
      </c>
      <c r="J541">
        <v>0</v>
      </c>
      <c r="K541">
        <v>0</v>
      </c>
      <c r="L541">
        <v>0</v>
      </c>
      <c r="M541">
        <v>40</v>
      </c>
      <c r="N541">
        <v>1</v>
      </c>
      <c r="O541">
        <f t="shared" si="83"/>
        <v>40.142857142857146</v>
      </c>
      <c r="P541">
        <v>0</v>
      </c>
      <c r="Q541">
        <v>0</v>
      </c>
      <c r="R541">
        <v>0</v>
      </c>
      <c r="T541">
        <v>3</v>
      </c>
      <c r="U541">
        <v>0</v>
      </c>
      <c r="V541">
        <v>4000</v>
      </c>
      <c r="W541">
        <v>9</v>
      </c>
      <c r="X541">
        <v>1</v>
      </c>
      <c r="Y541">
        <v>0</v>
      </c>
      <c r="AA541">
        <f t="shared" si="84"/>
        <v>0</v>
      </c>
      <c r="AB541" t="str">
        <f t="shared" si="85"/>
        <v>2</v>
      </c>
      <c r="AC541">
        <f t="shared" si="86"/>
        <v>1</v>
      </c>
      <c r="AD541">
        <f t="shared" si="87"/>
        <v>0</v>
      </c>
      <c r="AE541">
        <f t="shared" si="88"/>
        <v>0</v>
      </c>
      <c r="AF541">
        <f t="shared" si="89"/>
        <v>0</v>
      </c>
    </row>
    <row r="542" spans="1:32" x14ac:dyDescent="0.3">
      <c r="A542">
        <v>30</v>
      </c>
      <c r="B542">
        <v>48</v>
      </c>
      <c r="C542">
        <v>161</v>
      </c>
      <c r="D542">
        <f t="shared" si="80"/>
        <v>18.517804097064154</v>
      </c>
      <c r="E542">
        <f t="shared" si="81"/>
        <v>1</v>
      </c>
      <c r="F542">
        <v>56</v>
      </c>
      <c r="G542">
        <f t="shared" si="82"/>
        <v>8</v>
      </c>
      <c r="H542">
        <v>1</v>
      </c>
      <c r="I542" t="s">
        <v>86</v>
      </c>
      <c r="J542">
        <v>0</v>
      </c>
      <c r="K542">
        <v>0</v>
      </c>
      <c r="L542">
        <v>0</v>
      </c>
      <c r="M542">
        <v>38</v>
      </c>
      <c r="N542">
        <v>5</v>
      </c>
      <c r="O542">
        <f t="shared" si="83"/>
        <v>38.714285714285715</v>
      </c>
      <c r="P542">
        <v>1</v>
      </c>
      <c r="Q542">
        <v>0</v>
      </c>
      <c r="R542">
        <v>3</v>
      </c>
      <c r="S542" t="s">
        <v>49</v>
      </c>
      <c r="T542">
        <v>0</v>
      </c>
      <c r="U542">
        <v>0</v>
      </c>
      <c r="V542">
        <v>3120</v>
      </c>
      <c r="W542">
        <v>9</v>
      </c>
      <c r="X542">
        <v>1</v>
      </c>
      <c r="Y542">
        <v>0</v>
      </c>
      <c r="AA542">
        <f t="shared" si="84"/>
        <v>0</v>
      </c>
      <c r="AB542" t="str">
        <f t="shared" si="85"/>
        <v>0</v>
      </c>
      <c r="AC542">
        <f t="shared" si="86"/>
        <v>0</v>
      </c>
      <c r="AD542">
        <f t="shared" si="87"/>
        <v>0</v>
      </c>
      <c r="AE542">
        <f t="shared" si="88"/>
        <v>1</v>
      </c>
      <c r="AF542">
        <f t="shared" si="89"/>
        <v>0</v>
      </c>
    </row>
    <row r="543" spans="1:32" x14ac:dyDescent="0.3">
      <c r="A543">
        <v>27</v>
      </c>
      <c r="B543">
        <v>45</v>
      </c>
      <c r="C543">
        <v>143</v>
      </c>
      <c r="D543">
        <f t="shared" si="80"/>
        <v>22.005966061910122</v>
      </c>
      <c r="E543">
        <f t="shared" si="81"/>
        <v>1</v>
      </c>
      <c r="F543">
        <v>51</v>
      </c>
      <c r="G543">
        <f t="shared" si="82"/>
        <v>6</v>
      </c>
      <c r="H543">
        <v>0</v>
      </c>
      <c r="J543">
        <v>0</v>
      </c>
      <c r="K543">
        <v>0</v>
      </c>
      <c r="L543">
        <v>1</v>
      </c>
      <c r="M543">
        <v>38</v>
      </c>
      <c r="N543">
        <v>5</v>
      </c>
      <c r="O543">
        <f t="shared" si="83"/>
        <v>38.714285714285715</v>
      </c>
      <c r="P543">
        <v>0</v>
      </c>
      <c r="Q543">
        <v>0</v>
      </c>
      <c r="R543">
        <v>0</v>
      </c>
      <c r="T543">
        <v>0</v>
      </c>
      <c r="U543">
        <v>0</v>
      </c>
      <c r="V543">
        <v>2500</v>
      </c>
      <c r="W543">
        <v>9</v>
      </c>
      <c r="X543">
        <v>1</v>
      </c>
      <c r="Y543">
        <v>0</v>
      </c>
      <c r="AA543">
        <f t="shared" si="84"/>
        <v>0</v>
      </c>
      <c r="AB543" t="str">
        <f t="shared" si="85"/>
        <v>0</v>
      </c>
      <c r="AC543">
        <f t="shared" si="86"/>
        <v>0</v>
      </c>
      <c r="AD543">
        <f t="shared" si="87"/>
        <v>0</v>
      </c>
      <c r="AE543">
        <f t="shared" si="88"/>
        <v>0</v>
      </c>
      <c r="AF543">
        <f t="shared" si="89"/>
        <v>0</v>
      </c>
    </row>
    <row r="544" spans="1:32" x14ac:dyDescent="0.3">
      <c r="A544">
        <v>28</v>
      </c>
      <c r="B544">
        <v>79.3</v>
      </c>
      <c r="C544">
        <v>172</v>
      </c>
      <c r="D544">
        <f t="shared" si="80"/>
        <v>26.805029745808547</v>
      </c>
      <c r="E544">
        <f t="shared" si="81"/>
        <v>3</v>
      </c>
      <c r="F544">
        <v>91</v>
      </c>
      <c r="G544">
        <f t="shared" si="82"/>
        <v>11.700000000000003</v>
      </c>
      <c r="H544">
        <v>1</v>
      </c>
      <c r="I544" t="s">
        <v>32</v>
      </c>
      <c r="J544">
        <v>0</v>
      </c>
      <c r="K544">
        <v>0</v>
      </c>
      <c r="L544">
        <v>1</v>
      </c>
      <c r="M544">
        <v>39</v>
      </c>
      <c r="N544">
        <v>6</v>
      </c>
      <c r="O544">
        <f t="shared" si="83"/>
        <v>39.857142857142854</v>
      </c>
      <c r="P544">
        <v>0</v>
      </c>
      <c r="Q544">
        <v>0</v>
      </c>
      <c r="R544">
        <v>0</v>
      </c>
      <c r="T544">
        <v>0</v>
      </c>
      <c r="U544">
        <v>0</v>
      </c>
      <c r="V544">
        <v>3700</v>
      </c>
      <c r="W544">
        <v>9</v>
      </c>
      <c r="X544">
        <v>1</v>
      </c>
      <c r="Y544">
        <v>0</v>
      </c>
      <c r="AA544">
        <f t="shared" si="84"/>
        <v>1</v>
      </c>
      <c r="AB544" t="str">
        <f t="shared" si="85"/>
        <v>0</v>
      </c>
      <c r="AC544">
        <f t="shared" si="86"/>
        <v>0</v>
      </c>
      <c r="AD544">
        <f t="shared" si="87"/>
        <v>0</v>
      </c>
      <c r="AE544">
        <f t="shared" si="88"/>
        <v>0</v>
      </c>
      <c r="AF544">
        <f t="shared" si="89"/>
        <v>0</v>
      </c>
    </row>
    <row r="545" spans="1:32" x14ac:dyDescent="0.3">
      <c r="A545">
        <v>35</v>
      </c>
      <c r="B545">
        <v>64</v>
      </c>
      <c r="C545">
        <v>163</v>
      </c>
      <c r="D545">
        <f t="shared" si="80"/>
        <v>24.088223117166624</v>
      </c>
      <c r="E545">
        <f t="shared" si="81"/>
        <v>2</v>
      </c>
      <c r="F545">
        <v>78.5</v>
      </c>
      <c r="G545">
        <f t="shared" si="82"/>
        <v>14.5</v>
      </c>
      <c r="H545">
        <v>0</v>
      </c>
      <c r="J545">
        <v>0</v>
      </c>
      <c r="K545">
        <v>0</v>
      </c>
      <c r="L545">
        <v>2</v>
      </c>
      <c r="M545">
        <v>40</v>
      </c>
      <c r="N545">
        <v>5</v>
      </c>
      <c r="O545">
        <f t="shared" si="83"/>
        <v>40.714285714285715</v>
      </c>
      <c r="P545">
        <v>0</v>
      </c>
      <c r="Q545">
        <v>0</v>
      </c>
      <c r="R545">
        <v>0</v>
      </c>
      <c r="T545">
        <v>1</v>
      </c>
      <c r="U545">
        <v>0</v>
      </c>
      <c r="V545">
        <v>3440</v>
      </c>
      <c r="W545">
        <v>9</v>
      </c>
      <c r="X545">
        <v>0</v>
      </c>
      <c r="Y545">
        <v>0</v>
      </c>
      <c r="AA545">
        <f t="shared" si="84"/>
        <v>1</v>
      </c>
      <c r="AB545" t="str">
        <f t="shared" si="85"/>
        <v>0</v>
      </c>
      <c r="AC545">
        <f t="shared" si="86"/>
        <v>0</v>
      </c>
      <c r="AD545">
        <f t="shared" si="87"/>
        <v>0</v>
      </c>
      <c r="AE545">
        <f t="shared" si="88"/>
        <v>0</v>
      </c>
      <c r="AF545">
        <f t="shared" si="89"/>
        <v>0</v>
      </c>
    </row>
    <row r="546" spans="1:32" x14ac:dyDescent="0.3">
      <c r="A546">
        <v>30</v>
      </c>
      <c r="B546">
        <v>70</v>
      </c>
      <c r="C546">
        <v>160</v>
      </c>
      <c r="D546">
        <f t="shared" si="80"/>
        <v>27.343749999999996</v>
      </c>
      <c r="E546">
        <f t="shared" si="81"/>
        <v>3</v>
      </c>
      <c r="F546">
        <v>80</v>
      </c>
      <c r="G546">
        <f t="shared" si="82"/>
        <v>10</v>
      </c>
      <c r="H546">
        <v>1</v>
      </c>
      <c r="I546" t="s">
        <v>79</v>
      </c>
      <c r="J546">
        <v>1</v>
      </c>
      <c r="K546">
        <v>0</v>
      </c>
      <c r="L546">
        <v>2</v>
      </c>
      <c r="M546">
        <v>38</v>
      </c>
      <c r="N546">
        <v>6</v>
      </c>
      <c r="O546">
        <f t="shared" si="83"/>
        <v>38.857142857142854</v>
      </c>
      <c r="P546">
        <v>0</v>
      </c>
      <c r="Q546">
        <v>0</v>
      </c>
      <c r="R546">
        <v>0</v>
      </c>
      <c r="T546">
        <v>1</v>
      </c>
      <c r="U546">
        <v>0</v>
      </c>
      <c r="V546">
        <v>4270</v>
      </c>
      <c r="W546">
        <v>8</v>
      </c>
      <c r="X546">
        <v>1</v>
      </c>
      <c r="Y546">
        <v>0</v>
      </c>
      <c r="AA546">
        <f t="shared" si="84"/>
        <v>1</v>
      </c>
      <c r="AB546" t="str">
        <f t="shared" si="85"/>
        <v>2</v>
      </c>
      <c r="AC546">
        <f t="shared" si="86"/>
        <v>1</v>
      </c>
      <c r="AD546">
        <f t="shared" si="87"/>
        <v>0</v>
      </c>
      <c r="AE546">
        <f t="shared" si="88"/>
        <v>0</v>
      </c>
      <c r="AF546">
        <f t="shared" si="89"/>
        <v>0</v>
      </c>
    </row>
    <row r="547" spans="1:32" x14ac:dyDescent="0.3">
      <c r="A547">
        <v>21</v>
      </c>
      <c r="B547">
        <v>77</v>
      </c>
      <c r="C547">
        <v>172</v>
      </c>
      <c r="D547">
        <f t="shared" si="80"/>
        <v>26.027582477014604</v>
      </c>
      <c r="E547">
        <f t="shared" si="81"/>
        <v>3</v>
      </c>
      <c r="F547">
        <v>89</v>
      </c>
      <c r="G547">
        <f t="shared" si="82"/>
        <v>12</v>
      </c>
      <c r="H547">
        <v>1</v>
      </c>
      <c r="I547" t="s">
        <v>32</v>
      </c>
      <c r="J547">
        <v>0</v>
      </c>
      <c r="K547">
        <v>0</v>
      </c>
      <c r="L547">
        <v>1</v>
      </c>
      <c r="M547">
        <v>40</v>
      </c>
      <c r="N547">
        <v>1</v>
      </c>
      <c r="O547">
        <f t="shared" si="83"/>
        <v>40.142857142857146</v>
      </c>
      <c r="P547">
        <v>0</v>
      </c>
      <c r="Q547">
        <v>0</v>
      </c>
      <c r="R547">
        <v>0</v>
      </c>
      <c r="T547">
        <v>0</v>
      </c>
      <c r="U547">
        <v>0</v>
      </c>
      <c r="V547">
        <v>3020</v>
      </c>
      <c r="W547">
        <v>10</v>
      </c>
      <c r="X547">
        <v>0</v>
      </c>
      <c r="Y547">
        <v>0</v>
      </c>
      <c r="AA547">
        <f t="shared" si="84"/>
        <v>1</v>
      </c>
      <c r="AB547" t="str">
        <f t="shared" si="85"/>
        <v>0</v>
      </c>
      <c r="AC547">
        <f t="shared" si="86"/>
        <v>0</v>
      </c>
      <c r="AD547">
        <f t="shared" si="87"/>
        <v>0</v>
      </c>
      <c r="AE547">
        <f t="shared" si="88"/>
        <v>0</v>
      </c>
      <c r="AF547">
        <f t="shared" si="89"/>
        <v>0</v>
      </c>
    </row>
    <row r="548" spans="1:32" x14ac:dyDescent="0.3">
      <c r="A548">
        <v>42</v>
      </c>
      <c r="B548">
        <v>74</v>
      </c>
      <c r="C548">
        <v>153</v>
      </c>
      <c r="D548">
        <f t="shared" si="80"/>
        <v>31.611773249604852</v>
      </c>
      <c r="E548">
        <f t="shared" si="81"/>
        <v>3</v>
      </c>
      <c r="F548">
        <v>82</v>
      </c>
      <c r="G548">
        <f t="shared" si="82"/>
        <v>8</v>
      </c>
      <c r="H548">
        <v>1</v>
      </c>
      <c r="I548" t="s">
        <v>32</v>
      </c>
      <c r="J548">
        <v>0</v>
      </c>
      <c r="K548">
        <v>0</v>
      </c>
      <c r="L548">
        <v>2</v>
      </c>
      <c r="M548">
        <v>38</v>
      </c>
      <c r="N548">
        <v>1</v>
      </c>
      <c r="O548">
        <f t="shared" si="83"/>
        <v>38.142857142857146</v>
      </c>
      <c r="P548">
        <v>0</v>
      </c>
      <c r="Q548">
        <v>0</v>
      </c>
      <c r="R548">
        <v>0</v>
      </c>
      <c r="T548">
        <v>0</v>
      </c>
      <c r="U548">
        <v>0</v>
      </c>
      <c r="V548">
        <v>2770</v>
      </c>
      <c r="W548">
        <v>8</v>
      </c>
      <c r="X548">
        <v>1</v>
      </c>
      <c r="Y548">
        <v>0</v>
      </c>
      <c r="AA548">
        <f t="shared" si="84"/>
        <v>0</v>
      </c>
      <c r="AB548" t="str">
        <f t="shared" si="85"/>
        <v>0</v>
      </c>
      <c r="AC548">
        <f t="shared" si="86"/>
        <v>0</v>
      </c>
      <c r="AD548">
        <f t="shared" si="87"/>
        <v>0</v>
      </c>
      <c r="AE548">
        <f t="shared" si="88"/>
        <v>0</v>
      </c>
      <c r="AF548">
        <f t="shared" si="89"/>
        <v>0</v>
      </c>
    </row>
    <row r="549" spans="1:32" x14ac:dyDescent="0.3">
      <c r="A549">
        <v>29</v>
      </c>
      <c r="B549">
        <v>51</v>
      </c>
      <c r="C549">
        <v>155</v>
      </c>
      <c r="D549">
        <f t="shared" si="80"/>
        <v>21.227887617065555</v>
      </c>
      <c r="E549">
        <f t="shared" si="81"/>
        <v>1</v>
      </c>
      <c r="F549">
        <v>70</v>
      </c>
      <c r="G549">
        <f t="shared" si="82"/>
        <v>19</v>
      </c>
      <c r="H549">
        <v>0</v>
      </c>
      <c r="J549">
        <v>0</v>
      </c>
      <c r="K549">
        <v>0</v>
      </c>
      <c r="L549">
        <v>1</v>
      </c>
      <c r="M549">
        <v>40</v>
      </c>
      <c r="N549">
        <v>0</v>
      </c>
      <c r="O549">
        <f t="shared" si="83"/>
        <v>40</v>
      </c>
      <c r="P549">
        <v>0</v>
      </c>
      <c r="Q549">
        <v>0</v>
      </c>
      <c r="R549">
        <v>0</v>
      </c>
      <c r="T549">
        <v>0</v>
      </c>
      <c r="U549">
        <v>0</v>
      </c>
      <c r="V549">
        <v>3500</v>
      </c>
      <c r="W549">
        <v>9</v>
      </c>
      <c r="X549">
        <v>1</v>
      </c>
      <c r="Y549">
        <v>0</v>
      </c>
      <c r="AA549">
        <f t="shared" si="84"/>
        <v>1</v>
      </c>
      <c r="AB549" t="str">
        <f t="shared" si="85"/>
        <v>0</v>
      </c>
      <c r="AC549">
        <f t="shared" si="86"/>
        <v>0</v>
      </c>
      <c r="AD549">
        <f t="shared" si="87"/>
        <v>0</v>
      </c>
      <c r="AE549">
        <f t="shared" si="88"/>
        <v>0</v>
      </c>
      <c r="AF549">
        <f t="shared" si="89"/>
        <v>0</v>
      </c>
    </row>
    <row r="550" spans="1:32" x14ac:dyDescent="0.3">
      <c r="A550">
        <v>43</v>
      </c>
      <c r="B550">
        <v>39.5</v>
      </c>
      <c r="C550">
        <v>155</v>
      </c>
      <c r="D550">
        <f t="shared" si="80"/>
        <v>16.441207075962538</v>
      </c>
      <c r="E550">
        <f t="shared" si="81"/>
        <v>0</v>
      </c>
      <c r="F550">
        <v>50</v>
      </c>
      <c r="G550">
        <f t="shared" si="82"/>
        <v>10.5</v>
      </c>
      <c r="H550">
        <v>0</v>
      </c>
      <c r="J550">
        <v>0</v>
      </c>
      <c r="K550">
        <v>0</v>
      </c>
      <c r="L550">
        <v>1</v>
      </c>
      <c r="M550">
        <v>40</v>
      </c>
      <c r="N550">
        <v>3</v>
      </c>
      <c r="O550">
        <f t="shared" si="83"/>
        <v>40.428571428571431</v>
      </c>
      <c r="P550">
        <v>0</v>
      </c>
      <c r="Q550">
        <v>0</v>
      </c>
      <c r="R550">
        <v>0</v>
      </c>
      <c r="T550">
        <v>0</v>
      </c>
      <c r="U550">
        <v>0</v>
      </c>
      <c r="V550">
        <v>2650</v>
      </c>
      <c r="W550">
        <v>8</v>
      </c>
      <c r="X550">
        <v>1</v>
      </c>
      <c r="Y550">
        <v>0</v>
      </c>
      <c r="AA550">
        <f t="shared" si="84"/>
        <v>0</v>
      </c>
      <c r="AB550" t="str">
        <f t="shared" si="85"/>
        <v>1</v>
      </c>
      <c r="AC550">
        <f t="shared" si="86"/>
        <v>0</v>
      </c>
      <c r="AD550">
        <f t="shared" si="87"/>
        <v>0</v>
      </c>
      <c r="AE550">
        <f t="shared" si="88"/>
        <v>0</v>
      </c>
      <c r="AF550">
        <f t="shared" si="89"/>
        <v>0</v>
      </c>
    </row>
    <row r="551" spans="1:32" x14ac:dyDescent="0.3">
      <c r="A551">
        <v>24</v>
      </c>
      <c r="B551">
        <v>48</v>
      </c>
      <c r="C551">
        <v>153</v>
      </c>
      <c r="D551">
        <f t="shared" si="80"/>
        <v>20.504933999743688</v>
      </c>
      <c r="E551">
        <f t="shared" si="81"/>
        <v>1</v>
      </c>
      <c r="F551">
        <v>60</v>
      </c>
      <c r="G551">
        <f t="shared" si="82"/>
        <v>12</v>
      </c>
      <c r="H551">
        <v>0</v>
      </c>
      <c r="J551">
        <v>0</v>
      </c>
      <c r="K551">
        <v>0</v>
      </c>
      <c r="L551">
        <v>1</v>
      </c>
      <c r="M551">
        <v>39</v>
      </c>
      <c r="N551">
        <v>2</v>
      </c>
      <c r="O551">
        <f t="shared" si="83"/>
        <v>39.285714285714285</v>
      </c>
      <c r="P551">
        <v>0</v>
      </c>
      <c r="Q551">
        <v>0</v>
      </c>
      <c r="R551">
        <v>0</v>
      </c>
      <c r="T551">
        <v>1</v>
      </c>
      <c r="U551">
        <v>0</v>
      </c>
      <c r="V551">
        <v>2520</v>
      </c>
      <c r="W551">
        <v>8</v>
      </c>
      <c r="X551">
        <v>1</v>
      </c>
      <c r="Y551">
        <v>0</v>
      </c>
      <c r="AA551">
        <f t="shared" si="84"/>
        <v>0</v>
      </c>
      <c r="AB551" t="str">
        <f t="shared" si="85"/>
        <v>1</v>
      </c>
      <c r="AC551">
        <f t="shared" si="86"/>
        <v>0</v>
      </c>
      <c r="AD551">
        <f t="shared" si="87"/>
        <v>0</v>
      </c>
      <c r="AE551">
        <f t="shared" si="88"/>
        <v>0</v>
      </c>
      <c r="AF551">
        <f t="shared" si="89"/>
        <v>0</v>
      </c>
    </row>
    <row r="552" spans="1:32" x14ac:dyDescent="0.3">
      <c r="A552">
        <v>35</v>
      </c>
      <c r="B552">
        <v>77</v>
      </c>
      <c r="C552">
        <v>160</v>
      </c>
      <c r="D552">
        <f t="shared" si="80"/>
        <v>30.078124999999993</v>
      </c>
      <c r="E552">
        <f t="shared" si="81"/>
        <v>3</v>
      </c>
      <c r="F552">
        <v>74</v>
      </c>
      <c r="G552">
        <f t="shared" si="82"/>
        <v>-3</v>
      </c>
      <c r="H552">
        <v>1</v>
      </c>
      <c r="I552" t="s">
        <v>84</v>
      </c>
      <c r="J552">
        <v>0</v>
      </c>
      <c r="K552">
        <v>1</v>
      </c>
      <c r="L552">
        <v>1</v>
      </c>
      <c r="M552">
        <v>39</v>
      </c>
      <c r="N552">
        <v>0</v>
      </c>
      <c r="O552">
        <f t="shared" si="83"/>
        <v>39</v>
      </c>
      <c r="P552">
        <v>1</v>
      </c>
      <c r="Q552">
        <v>0</v>
      </c>
      <c r="R552">
        <v>3</v>
      </c>
      <c r="S552" t="s">
        <v>34</v>
      </c>
      <c r="T552">
        <v>0</v>
      </c>
      <c r="U552">
        <v>0</v>
      </c>
      <c r="V552">
        <v>4070</v>
      </c>
      <c r="W552">
        <v>9</v>
      </c>
      <c r="X552">
        <v>1</v>
      </c>
      <c r="Y552">
        <v>0</v>
      </c>
      <c r="AA552">
        <f t="shared" si="84"/>
        <v>0</v>
      </c>
      <c r="AB552" t="str">
        <f t="shared" si="85"/>
        <v>2</v>
      </c>
      <c r="AC552">
        <f t="shared" si="86"/>
        <v>1</v>
      </c>
      <c r="AD552">
        <f t="shared" si="87"/>
        <v>0</v>
      </c>
      <c r="AE552">
        <f t="shared" si="88"/>
        <v>1</v>
      </c>
      <c r="AF552">
        <f t="shared" si="89"/>
        <v>0</v>
      </c>
    </row>
    <row r="553" spans="1:32" x14ac:dyDescent="0.3">
      <c r="A553">
        <v>35</v>
      </c>
      <c r="B553">
        <v>65</v>
      </c>
      <c r="C553">
        <v>157</v>
      </c>
      <c r="D553">
        <f t="shared" si="80"/>
        <v>26.370238143535232</v>
      </c>
      <c r="E553">
        <f t="shared" si="81"/>
        <v>3</v>
      </c>
      <c r="F553">
        <v>77</v>
      </c>
      <c r="G553">
        <f t="shared" si="82"/>
        <v>12</v>
      </c>
      <c r="H553">
        <v>1</v>
      </c>
      <c r="I553" t="s">
        <v>32</v>
      </c>
      <c r="J553">
        <v>0</v>
      </c>
      <c r="K553">
        <v>1</v>
      </c>
      <c r="L553">
        <v>1</v>
      </c>
      <c r="M553">
        <v>38</v>
      </c>
      <c r="N553">
        <v>5</v>
      </c>
      <c r="O553">
        <f t="shared" si="83"/>
        <v>38.714285714285715</v>
      </c>
      <c r="P553">
        <v>0</v>
      </c>
      <c r="Q553">
        <v>0</v>
      </c>
      <c r="R553">
        <v>3</v>
      </c>
      <c r="S553" t="s">
        <v>34</v>
      </c>
      <c r="T553">
        <v>0</v>
      </c>
      <c r="U553">
        <v>0</v>
      </c>
      <c r="V553">
        <v>2550</v>
      </c>
      <c r="W553">
        <v>8</v>
      </c>
      <c r="X553">
        <v>1</v>
      </c>
      <c r="Y553">
        <v>0</v>
      </c>
      <c r="AA553">
        <f t="shared" si="84"/>
        <v>1</v>
      </c>
      <c r="AB553" t="str">
        <f t="shared" si="85"/>
        <v>0</v>
      </c>
      <c r="AC553">
        <f t="shared" si="86"/>
        <v>0</v>
      </c>
      <c r="AD553">
        <f t="shared" si="87"/>
        <v>0</v>
      </c>
      <c r="AE553">
        <f t="shared" si="88"/>
        <v>1</v>
      </c>
      <c r="AF553">
        <f t="shared" si="89"/>
        <v>0</v>
      </c>
    </row>
    <row r="554" spans="1:32" x14ac:dyDescent="0.3">
      <c r="A554">
        <v>37</v>
      </c>
      <c r="B554">
        <v>55</v>
      </c>
      <c r="C554">
        <v>168</v>
      </c>
      <c r="D554">
        <f t="shared" si="80"/>
        <v>19.486961451247168</v>
      </c>
      <c r="E554">
        <f t="shared" si="81"/>
        <v>1</v>
      </c>
      <c r="F554">
        <v>67</v>
      </c>
      <c r="G554">
        <f t="shared" si="82"/>
        <v>12</v>
      </c>
      <c r="H554">
        <v>0</v>
      </c>
      <c r="J554">
        <v>0</v>
      </c>
      <c r="K554">
        <v>0</v>
      </c>
      <c r="L554">
        <v>1</v>
      </c>
      <c r="M554">
        <v>39</v>
      </c>
      <c r="N554">
        <v>3</v>
      </c>
      <c r="O554">
        <f t="shared" si="83"/>
        <v>39.428571428571431</v>
      </c>
      <c r="P554">
        <v>0</v>
      </c>
      <c r="Q554">
        <v>0</v>
      </c>
      <c r="R554">
        <v>0</v>
      </c>
      <c r="T554">
        <v>0</v>
      </c>
      <c r="U554">
        <v>0</v>
      </c>
      <c r="V554">
        <v>2440</v>
      </c>
      <c r="W554">
        <v>9</v>
      </c>
      <c r="X554">
        <v>1</v>
      </c>
      <c r="Y554">
        <v>0</v>
      </c>
      <c r="AA554">
        <f t="shared" si="84"/>
        <v>0</v>
      </c>
      <c r="AB554" t="str">
        <f t="shared" si="85"/>
        <v>1</v>
      </c>
      <c r="AC554">
        <f t="shared" si="86"/>
        <v>0</v>
      </c>
      <c r="AD554">
        <f t="shared" si="87"/>
        <v>0</v>
      </c>
      <c r="AE554">
        <f t="shared" si="88"/>
        <v>0</v>
      </c>
      <c r="AF554">
        <f t="shared" si="89"/>
        <v>0</v>
      </c>
    </row>
    <row r="555" spans="1:32" x14ac:dyDescent="0.3">
      <c r="A555">
        <v>23</v>
      </c>
      <c r="B555">
        <v>53</v>
      </c>
      <c r="C555">
        <v>158</v>
      </c>
      <c r="D555">
        <f t="shared" si="80"/>
        <v>21.230572023714146</v>
      </c>
      <c r="E555">
        <f t="shared" si="81"/>
        <v>1</v>
      </c>
      <c r="F555">
        <v>69</v>
      </c>
      <c r="G555">
        <f t="shared" si="82"/>
        <v>16</v>
      </c>
      <c r="H555">
        <v>1</v>
      </c>
      <c r="I555" t="s">
        <v>87</v>
      </c>
      <c r="J555">
        <v>0</v>
      </c>
      <c r="K555">
        <v>0</v>
      </c>
      <c r="L555">
        <v>1</v>
      </c>
      <c r="M555">
        <v>41</v>
      </c>
      <c r="N555">
        <v>4</v>
      </c>
      <c r="O555">
        <f t="shared" si="83"/>
        <v>41.571428571428569</v>
      </c>
      <c r="P555">
        <v>0</v>
      </c>
      <c r="Q555">
        <v>0</v>
      </c>
      <c r="R555">
        <v>0</v>
      </c>
      <c r="T555">
        <v>0</v>
      </c>
      <c r="U555">
        <v>0</v>
      </c>
      <c r="V555">
        <v>3660</v>
      </c>
      <c r="W555">
        <v>8</v>
      </c>
      <c r="X555">
        <v>1</v>
      </c>
      <c r="Y555">
        <v>0</v>
      </c>
      <c r="AA555">
        <f t="shared" si="84"/>
        <v>1</v>
      </c>
      <c r="AB555" t="str">
        <f t="shared" si="85"/>
        <v>0</v>
      </c>
      <c r="AC555">
        <f t="shared" si="86"/>
        <v>0</v>
      </c>
      <c r="AD555">
        <f t="shared" si="87"/>
        <v>0</v>
      </c>
      <c r="AE555">
        <f t="shared" si="88"/>
        <v>0</v>
      </c>
      <c r="AF555">
        <f t="shared" si="89"/>
        <v>0</v>
      </c>
    </row>
    <row r="556" spans="1:32" x14ac:dyDescent="0.3">
      <c r="A556">
        <v>19</v>
      </c>
      <c r="B556">
        <v>58</v>
      </c>
      <c r="C556">
        <v>160</v>
      </c>
      <c r="D556">
        <f t="shared" si="80"/>
        <v>22.656249999999996</v>
      </c>
      <c r="E556">
        <f t="shared" si="81"/>
        <v>1</v>
      </c>
      <c r="F556">
        <v>74</v>
      </c>
      <c r="G556">
        <f t="shared" si="82"/>
        <v>16</v>
      </c>
      <c r="H556">
        <v>0</v>
      </c>
      <c r="J556">
        <v>0</v>
      </c>
      <c r="K556">
        <v>0</v>
      </c>
      <c r="L556">
        <v>0</v>
      </c>
      <c r="M556">
        <v>40</v>
      </c>
      <c r="N556">
        <v>2</v>
      </c>
      <c r="O556">
        <f t="shared" si="83"/>
        <v>40.285714285714285</v>
      </c>
      <c r="P556">
        <v>0</v>
      </c>
      <c r="Q556">
        <v>0</v>
      </c>
      <c r="R556">
        <v>3</v>
      </c>
      <c r="S556" t="s">
        <v>35</v>
      </c>
      <c r="T556">
        <v>0</v>
      </c>
      <c r="U556">
        <v>0</v>
      </c>
      <c r="V556">
        <v>3670</v>
      </c>
      <c r="W556">
        <v>8</v>
      </c>
      <c r="X556">
        <v>1</v>
      </c>
      <c r="Y556">
        <v>0</v>
      </c>
      <c r="AA556">
        <f t="shared" si="84"/>
        <v>1</v>
      </c>
      <c r="AB556" t="str">
        <f t="shared" si="85"/>
        <v>0</v>
      </c>
      <c r="AC556">
        <f t="shared" si="86"/>
        <v>0</v>
      </c>
      <c r="AD556">
        <f t="shared" si="87"/>
        <v>0</v>
      </c>
      <c r="AE556">
        <f t="shared" si="88"/>
        <v>1</v>
      </c>
      <c r="AF556">
        <f t="shared" si="89"/>
        <v>0</v>
      </c>
    </row>
    <row r="557" spans="1:32" x14ac:dyDescent="0.3">
      <c r="A557">
        <v>30</v>
      </c>
      <c r="B557">
        <v>44</v>
      </c>
      <c r="C557">
        <v>158</v>
      </c>
      <c r="D557">
        <f t="shared" si="80"/>
        <v>17.625380547989103</v>
      </c>
      <c r="E557">
        <f t="shared" si="81"/>
        <v>0</v>
      </c>
      <c r="F557">
        <v>57</v>
      </c>
      <c r="G557">
        <f t="shared" si="82"/>
        <v>13</v>
      </c>
      <c r="H557">
        <v>0</v>
      </c>
      <c r="J557">
        <v>0</v>
      </c>
      <c r="K557">
        <v>0</v>
      </c>
      <c r="L557">
        <v>1</v>
      </c>
      <c r="M557">
        <v>39</v>
      </c>
      <c r="N557">
        <v>6</v>
      </c>
      <c r="O557">
        <f t="shared" si="83"/>
        <v>39.857142857142854</v>
      </c>
      <c r="P557">
        <v>0</v>
      </c>
      <c r="Q557">
        <v>0</v>
      </c>
      <c r="R557">
        <v>0</v>
      </c>
      <c r="T557">
        <v>0</v>
      </c>
      <c r="U557">
        <v>0</v>
      </c>
      <c r="V557">
        <v>3430</v>
      </c>
      <c r="W557">
        <v>9</v>
      </c>
      <c r="X557">
        <v>1</v>
      </c>
      <c r="Y557">
        <v>0</v>
      </c>
      <c r="AA557">
        <f t="shared" si="84"/>
        <v>0</v>
      </c>
      <c r="AB557" t="str">
        <f t="shared" si="85"/>
        <v>0</v>
      </c>
      <c r="AC557">
        <f t="shared" si="86"/>
        <v>0</v>
      </c>
      <c r="AD557">
        <f t="shared" si="87"/>
        <v>0</v>
      </c>
      <c r="AE557">
        <f t="shared" si="88"/>
        <v>0</v>
      </c>
      <c r="AF557">
        <f t="shared" si="89"/>
        <v>0</v>
      </c>
    </row>
    <row r="558" spans="1:32" x14ac:dyDescent="0.3">
      <c r="A558">
        <v>25</v>
      </c>
      <c r="B558">
        <v>74</v>
      </c>
      <c r="C558">
        <v>165</v>
      </c>
      <c r="D558">
        <f t="shared" si="80"/>
        <v>27.180899908172638</v>
      </c>
      <c r="E558">
        <f t="shared" si="81"/>
        <v>3</v>
      </c>
      <c r="F558">
        <v>93</v>
      </c>
      <c r="G558">
        <f t="shared" si="82"/>
        <v>19</v>
      </c>
      <c r="H558">
        <v>1</v>
      </c>
      <c r="I558" t="s">
        <v>71</v>
      </c>
      <c r="J558">
        <v>0</v>
      </c>
      <c r="K558">
        <v>0</v>
      </c>
      <c r="L558">
        <v>0</v>
      </c>
      <c r="M558">
        <v>37</v>
      </c>
      <c r="N558">
        <v>4</v>
      </c>
      <c r="O558">
        <f t="shared" si="83"/>
        <v>37.571428571428569</v>
      </c>
      <c r="P558">
        <v>0</v>
      </c>
      <c r="Q558">
        <v>0</v>
      </c>
      <c r="R558">
        <v>3</v>
      </c>
      <c r="S558" t="s">
        <v>36</v>
      </c>
      <c r="T558">
        <v>0</v>
      </c>
      <c r="U558">
        <v>0</v>
      </c>
      <c r="V558">
        <v>3080</v>
      </c>
      <c r="W558">
        <v>8</v>
      </c>
      <c r="X558">
        <v>1</v>
      </c>
      <c r="Y558">
        <v>0</v>
      </c>
      <c r="AA558">
        <f t="shared" si="84"/>
        <v>1</v>
      </c>
      <c r="AB558" t="str">
        <f t="shared" si="85"/>
        <v>0</v>
      </c>
      <c r="AC558">
        <f t="shared" si="86"/>
        <v>0</v>
      </c>
      <c r="AD558">
        <f t="shared" si="87"/>
        <v>0</v>
      </c>
      <c r="AE558">
        <f t="shared" si="88"/>
        <v>1</v>
      </c>
      <c r="AF558">
        <f t="shared" si="89"/>
        <v>0</v>
      </c>
    </row>
    <row r="559" spans="1:32" x14ac:dyDescent="0.3">
      <c r="A559">
        <v>20</v>
      </c>
      <c r="B559">
        <v>51</v>
      </c>
      <c r="C559">
        <v>165</v>
      </c>
      <c r="D559">
        <f t="shared" si="80"/>
        <v>18.732782369146008</v>
      </c>
      <c r="E559">
        <f t="shared" si="81"/>
        <v>1</v>
      </c>
      <c r="F559">
        <v>62.5</v>
      </c>
      <c r="G559">
        <f t="shared" si="82"/>
        <v>11.5</v>
      </c>
      <c r="H559">
        <v>0</v>
      </c>
      <c r="J559">
        <v>0</v>
      </c>
      <c r="K559">
        <v>0</v>
      </c>
      <c r="L559">
        <v>1</v>
      </c>
      <c r="M559">
        <v>38</v>
      </c>
      <c r="N559">
        <v>2</v>
      </c>
      <c r="O559">
        <f t="shared" si="83"/>
        <v>38.285714285714285</v>
      </c>
      <c r="P559">
        <v>0</v>
      </c>
      <c r="Q559">
        <v>0</v>
      </c>
      <c r="R559">
        <v>0</v>
      </c>
      <c r="T559">
        <v>0</v>
      </c>
      <c r="U559">
        <v>0</v>
      </c>
      <c r="V559">
        <v>3360</v>
      </c>
      <c r="W559">
        <v>9</v>
      </c>
      <c r="X559">
        <v>1</v>
      </c>
      <c r="Y559">
        <v>0</v>
      </c>
      <c r="AA559">
        <f t="shared" si="84"/>
        <v>0</v>
      </c>
      <c r="AB559" t="str">
        <f t="shared" si="85"/>
        <v>0</v>
      </c>
      <c r="AC559">
        <f t="shared" si="86"/>
        <v>0</v>
      </c>
      <c r="AD559">
        <f t="shared" si="87"/>
        <v>0</v>
      </c>
      <c r="AE559">
        <f t="shared" si="88"/>
        <v>0</v>
      </c>
      <c r="AF559">
        <f t="shared" si="89"/>
        <v>0</v>
      </c>
    </row>
    <row r="560" spans="1:32" x14ac:dyDescent="0.3">
      <c r="A560">
        <v>32</v>
      </c>
      <c r="B560">
        <v>39.9</v>
      </c>
      <c r="C560">
        <v>150</v>
      </c>
      <c r="D560">
        <f t="shared" si="80"/>
        <v>17.733333333333334</v>
      </c>
      <c r="E560">
        <f t="shared" si="81"/>
        <v>0</v>
      </c>
      <c r="F560">
        <v>59</v>
      </c>
      <c r="G560">
        <f t="shared" si="82"/>
        <v>19.100000000000001</v>
      </c>
      <c r="H560">
        <v>0</v>
      </c>
      <c r="J560">
        <v>0</v>
      </c>
      <c r="K560">
        <v>0</v>
      </c>
      <c r="L560">
        <v>1</v>
      </c>
      <c r="M560">
        <v>39</v>
      </c>
      <c r="N560">
        <v>2</v>
      </c>
      <c r="O560">
        <f t="shared" si="83"/>
        <v>39.285714285714285</v>
      </c>
      <c r="P560">
        <v>0</v>
      </c>
      <c r="Q560">
        <v>0</v>
      </c>
      <c r="R560">
        <v>3</v>
      </c>
      <c r="S560" t="s">
        <v>36</v>
      </c>
      <c r="T560">
        <v>0</v>
      </c>
      <c r="U560">
        <v>0</v>
      </c>
      <c r="V560">
        <v>2690</v>
      </c>
      <c r="W560">
        <v>9</v>
      </c>
      <c r="X560">
        <v>1</v>
      </c>
      <c r="Y560">
        <v>0</v>
      </c>
      <c r="AA560">
        <f t="shared" si="84"/>
        <v>1</v>
      </c>
      <c r="AB560" t="str">
        <f t="shared" si="85"/>
        <v>0</v>
      </c>
      <c r="AC560">
        <f t="shared" si="86"/>
        <v>0</v>
      </c>
      <c r="AD560">
        <f t="shared" si="87"/>
        <v>0</v>
      </c>
      <c r="AE560">
        <f t="shared" si="88"/>
        <v>1</v>
      </c>
      <c r="AF560">
        <f t="shared" si="89"/>
        <v>0</v>
      </c>
    </row>
    <row r="561" spans="1:32" x14ac:dyDescent="0.3">
      <c r="A561">
        <v>28</v>
      </c>
      <c r="B561">
        <v>55</v>
      </c>
      <c r="C561">
        <v>165</v>
      </c>
      <c r="D561">
        <f t="shared" si="80"/>
        <v>20.202020202020204</v>
      </c>
      <c r="E561">
        <f t="shared" si="81"/>
        <v>1</v>
      </c>
      <c r="F561">
        <v>73</v>
      </c>
      <c r="G561">
        <f t="shared" si="82"/>
        <v>18</v>
      </c>
      <c r="H561">
        <v>0</v>
      </c>
      <c r="J561">
        <v>0</v>
      </c>
      <c r="K561">
        <v>1</v>
      </c>
      <c r="L561">
        <v>2</v>
      </c>
      <c r="M561">
        <v>38</v>
      </c>
      <c r="N561">
        <v>6</v>
      </c>
      <c r="O561">
        <f t="shared" si="83"/>
        <v>38.857142857142854</v>
      </c>
      <c r="P561">
        <v>0</v>
      </c>
      <c r="Q561">
        <v>0</v>
      </c>
      <c r="R561">
        <v>3</v>
      </c>
      <c r="S561" t="s">
        <v>34</v>
      </c>
      <c r="T561">
        <v>0</v>
      </c>
      <c r="U561">
        <v>0</v>
      </c>
      <c r="V561">
        <v>3630</v>
      </c>
      <c r="W561">
        <v>9</v>
      </c>
      <c r="X561">
        <v>1</v>
      </c>
      <c r="Y561">
        <v>0</v>
      </c>
      <c r="AA561">
        <f t="shared" si="84"/>
        <v>1</v>
      </c>
      <c r="AB561" t="str">
        <f t="shared" si="85"/>
        <v>2</v>
      </c>
      <c r="AC561">
        <f t="shared" si="86"/>
        <v>0</v>
      </c>
      <c r="AD561">
        <f t="shared" si="87"/>
        <v>0</v>
      </c>
      <c r="AE561">
        <f t="shared" si="88"/>
        <v>1</v>
      </c>
      <c r="AF561">
        <f t="shared" si="89"/>
        <v>0</v>
      </c>
    </row>
    <row r="562" spans="1:32" x14ac:dyDescent="0.3">
      <c r="A562">
        <v>17</v>
      </c>
      <c r="B562">
        <v>43</v>
      </c>
      <c r="C562">
        <v>155</v>
      </c>
      <c r="D562">
        <f t="shared" si="80"/>
        <v>17.898022892819977</v>
      </c>
      <c r="E562">
        <f t="shared" si="81"/>
        <v>0</v>
      </c>
      <c r="F562">
        <v>47</v>
      </c>
      <c r="G562">
        <f t="shared" si="82"/>
        <v>4</v>
      </c>
      <c r="H562">
        <v>0</v>
      </c>
      <c r="J562">
        <v>0</v>
      </c>
      <c r="K562">
        <v>0</v>
      </c>
      <c r="L562">
        <v>0</v>
      </c>
      <c r="M562">
        <v>40</v>
      </c>
      <c r="N562">
        <v>3</v>
      </c>
      <c r="O562">
        <f t="shared" si="83"/>
        <v>40.428571428571431</v>
      </c>
      <c r="P562">
        <v>0</v>
      </c>
      <c r="Q562">
        <v>0</v>
      </c>
      <c r="R562">
        <v>0</v>
      </c>
      <c r="T562">
        <v>0</v>
      </c>
      <c r="U562">
        <v>0</v>
      </c>
      <c r="V562">
        <v>3220</v>
      </c>
      <c r="W562">
        <v>8</v>
      </c>
      <c r="X562">
        <v>1</v>
      </c>
      <c r="Y562">
        <v>0</v>
      </c>
      <c r="AA562">
        <f t="shared" si="84"/>
        <v>0</v>
      </c>
      <c r="AB562" t="str">
        <f t="shared" si="85"/>
        <v>0</v>
      </c>
      <c r="AC562">
        <f t="shared" si="86"/>
        <v>0</v>
      </c>
      <c r="AD562">
        <f t="shared" si="87"/>
        <v>0</v>
      </c>
      <c r="AE562">
        <f t="shared" si="88"/>
        <v>0</v>
      </c>
      <c r="AF562">
        <f t="shared" si="89"/>
        <v>0</v>
      </c>
    </row>
    <row r="563" spans="1:32" x14ac:dyDescent="0.3">
      <c r="A563">
        <v>22</v>
      </c>
      <c r="B563">
        <v>58.9</v>
      </c>
      <c r="C563">
        <v>163</v>
      </c>
      <c r="D563">
        <f t="shared" si="80"/>
        <v>22.168692837517408</v>
      </c>
      <c r="E563">
        <f t="shared" si="81"/>
        <v>1</v>
      </c>
      <c r="F563">
        <v>63</v>
      </c>
      <c r="G563">
        <f t="shared" si="82"/>
        <v>4.1000000000000014</v>
      </c>
      <c r="H563">
        <v>1</v>
      </c>
      <c r="I563" t="s">
        <v>44</v>
      </c>
      <c r="J563">
        <v>0</v>
      </c>
      <c r="K563">
        <v>0</v>
      </c>
      <c r="L563">
        <v>2</v>
      </c>
      <c r="M563">
        <v>39</v>
      </c>
      <c r="N563">
        <v>5</v>
      </c>
      <c r="O563">
        <f t="shared" si="83"/>
        <v>39.714285714285715</v>
      </c>
      <c r="P563">
        <v>0</v>
      </c>
      <c r="Q563">
        <v>0</v>
      </c>
      <c r="R563">
        <v>0</v>
      </c>
      <c r="T563">
        <v>1</v>
      </c>
      <c r="U563">
        <v>0</v>
      </c>
      <c r="V563">
        <v>3020</v>
      </c>
      <c r="W563">
        <v>9</v>
      </c>
      <c r="X563">
        <v>1</v>
      </c>
      <c r="Y563">
        <v>0</v>
      </c>
      <c r="AA563">
        <f t="shared" si="84"/>
        <v>0</v>
      </c>
      <c r="AB563" t="str">
        <f t="shared" si="85"/>
        <v>0</v>
      </c>
      <c r="AC563">
        <f t="shared" si="86"/>
        <v>0</v>
      </c>
      <c r="AD563">
        <f t="shared" si="87"/>
        <v>0</v>
      </c>
      <c r="AE563">
        <f t="shared" si="88"/>
        <v>0</v>
      </c>
      <c r="AF563">
        <f t="shared" si="89"/>
        <v>0</v>
      </c>
    </row>
    <row r="564" spans="1:32" x14ac:dyDescent="0.3">
      <c r="A564">
        <v>26</v>
      </c>
      <c r="B564">
        <v>44</v>
      </c>
      <c r="C564">
        <v>148</v>
      </c>
      <c r="D564">
        <f t="shared" si="80"/>
        <v>20.08765522279036</v>
      </c>
      <c r="E564">
        <f t="shared" si="81"/>
        <v>1</v>
      </c>
      <c r="F564">
        <v>55</v>
      </c>
      <c r="G564">
        <f t="shared" si="82"/>
        <v>11</v>
      </c>
      <c r="H564">
        <v>0</v>
      </c>
      <c r="J564">
        <v>0</v>
      </c>
      <c r="K564">
        <v>0</v>
      </c>
      <c r="L564">
        <v>1</v>
      </c>
      <c r="M564">
        <v>38</v>
      </c>
      <c r="N564">
        <v>6</v>
      </c>
      <c r="O564">
        <f t="shared" si="83"/>
        <v>38.857142857142854</v>
      </c>
      <c r="P564">
        <v>0</v>
      </c>
      <c r="Q564">
        <v>0</v>
      </c>
      <c r="R564">
        <v>0</v>
      </c>
      <c r="T564">
        <v>0</v>
      </c>
      <c r="U564">
        <v>0</v>
      </c>
      <c r="V564">
        <v>3100</v>
      </c>
      <c r="W564">
        <v>9</v>
      </c>
      <c r="X564">
        <v>0</v>
      </c>
      <c r="Y564">
        <v>0</v>
      </c>
      <c r="AA564">
        <f t="shared" si="84"/>
        <v>0</v>
      </c>
      <c r="AB564" t="str">
        <f t="shared" si="85"/>
        <v>0</v>
      </c>
      <c r="AC564">
        <f t="shared" si="86"/>
        <v>0</v>
      </c>
      <c r="AD564">
        <f t="shared" si="87"/>
        <v>0</v>
      </c>
      <c r="AE564">
        <f t="shared" si="88"/>
        <v>0</v>
      </c>
      <c r="AF564">
        <f t="shared" si="89"/>
        <v>0</v>
      </c>
    </row>
    <row r="565" spans="1:32" x14ac:dyDescent="0.3">
      <c r="A565">
        <v>30</v>
      </c>
      <c r="B565">
        <v>73</v>
      </c>
      <c r="C565">
        <v>160</v>
      </c>
      <c r="D565">
        <f t="shared" si="80"/>
        <v>28.515624999999993</v>
      </c>
      <c r="E565">
        <f t="shared" si="81"/>
        <v>3</v>
      </c>
      <c r="F565">
        <v>81</v>
      </c>
      <c r="G565">
        <f t="shared" si="82"/>
        <v>8</v>
      </c>
      <c r="H565">
        <v>1</v>
      </c>
      <c r="I565" t="s">
        <v>32</v>
      </c>
      <c r="J565">
        <v>0</v>
      </c>
      <c r="K565">
        <v>0</v>
      </c>
      <c r="L565">
        <v>1</v>
      </c>
      <c r="M565">
        <v>38</v>
      </c>
      <c r="N565">
        <v>1</v>
      </c>
      <c r="O565">
        <f t="shared" si="83"/>
        <v>38.142857142857146</v>
      </c>
      <c r="P565">
        <v>1</v>
      </c>
      <c r="Q565">
        <v>0</v>
      </c>
      <c r="R565">
        <v>0</v>
      </c>
      <c r="T565">
        <v>0</v>
      </c>
      <c r="U565">
        <v>0</v>
      </c>
      <c r="V565">
        <v>3380</v>
      </c>
      <c r="W565">
        <v>9</v>
      </c>
      <c r="X565">
        <v>1</v>
      </c>
      <c r="Y565">
        <v>0</v>
      </c>
      <c r="AA565">
        <f t="shared" si="84"/>
        <v>0</v>
      </c>
      <c r="AB565" t="str">
        <f t="shared" si="85"/>
        <v>0</v>
      </c>
      <c r="AC565">
        <f t="shared" si="86"/>
        <v>0</v>
      </c>
      <c r="AD565">
        <f t="shared" si="87"/>
        <v>0</v>
      </c>
      <c r="AE565">
        <f t="shared" si="88"/>
        <v>0</v>
      </c>
      <c r="AF565">
        <f t="shared" si="89"/>
        <v>0</v>
      </c>
    </row>
    <row r="566" spans="1:32" x14ac:dyDescent="0.3">
      <c r="A566">
        <v>43</v>
      </c>
      <c r="B566">
        <v>67</v>
      </c>
      <c r="C566">
        <v>159</v>
      </c>
      <c r="D566">
        <f t="shared" si="80"/>
        <v>26.502116213757365</v>
      </c>
      <c r="E566">
        <f t="shared" si="81"/>
        <v>3</v>
      </c>
      <c r="F566">
        <v>68</v>
      </c>
      <c r="G566">
        <f t="shared" si="82"/>
        <v>1</v>
      </c>
      <c r="H566">
        <v>1</v>
      </c>
      <c r="I566" t="s">
        <v>32</v>
      </c>
      <c r="J566">
        <v>0</v>
      </c>
      <c r="K566">
        <v>0</v>
      </c>
      <c r="L566">
        <v>1</v>
      </c>
      <c r="M566">
        <v>39</v>
      </c>
      <c r="N566">
        <v>2</v>
      </c>
      <c r="O566">
        <f t="shared" si="83"/>
        <v>39.285714285714285</v>
      </c>
      <c r="P566">
        <v>0</v>
      </c>
      <c r="Q566">
        <v>0</v>
      </c>
      <c r="R566">
        <v>0</v>
      </c>
      <c r="T566">
        <v>0</v>
      </c>
      <c r="U566">
        <v>0</v>
      </c>
      <c r="V566">
        <v>2870</v>
      </c>
      <c r="W566">
        <v>9</v>
      </c>
      <c r="X566">
        <v>0</v>
      </c>
      <c r="Y566">
        <v>1</v>
      </c>
      <c r="Z566" t="s">
        <v>64</v>
      </c>
      <c r="AA566">
        <f t="shared" si="84"/>
        <v>0</v>
      </c>
      <c r="AB566" t="str">
        <f t="shared" si="85"/>
        <v>0</v>
      </c>
      <c r="AC566">
        <f t="shared" si="86"/>
        <v>0</v>
      </c>
      <c r="AD566">
        <f t="shared" si="87"/>
        <v>0</v>
      </c>
      <c r="AE566">
        <f t="shared" si="88"/>
        <v>0</v>
      </c>
      <c r="AF566">
        <f t="shared" si="89"/>
        <v>0</v>
      </c>
    </row>
    <row r="567" spans="1:32" x14ac:dyDescent="0.3">
      <c r="A567">
        <v>38</v>
      </c>
      <c r="B567">
        <v>62</v>
      </c>
      <c r="C567">
        <v>150</v>
      </c>
      <c r="D567">
        <f t="shared" si="80"/>
        <v>27.555555555555557</v>
      </c>
      <c r="E567">
        <f t="shared" si="81"/>
        <v>3</v>
      </c>
      <c r="F567">
        <v>82</v>
      </c>
      <c r="G567">
        <f t="shared" si="82"/>
        <v>20</v>
      </c>
      <c r="H567">
        <v>1</v>
      </c>
      <c r="I567" t="s">
        <v>32</v>
      </c>
      <c r="J567">
        <v>0</v>
      </c>
      <c r="K567">
        <v>0</v>
      </c>
      <c r="L567">
        <v>1</v>
      </c>
      <c r="M567">
        <v>40</v>
      </c>
      <c r="N567">
        <v>1</v>
      </c>
      <c r="O567">
        <f t="shared" si="83"/>
        <v>40.142857142857146</v>
      </c>
      <c r="P567">
        <v>0</v>
      </c>
      <c r="Q567">
        <v>0</v>
      </c>
      <c r="R567">
        <v>3</v>
      </c>
      <c r="S567" t="s">
        <v>49</v>
      </c>
      <c r="T567">
        <v>0</v>
      </c>
      <c r="U567">
        <v>0</v>
      </c>
      <c r="V567">
        <v>3930</v>
      </c>
      <c r="W567">
        <v>9</v>
      </c>
      <c r="X567">
        <v>1</v>
      </c>
      <c r="Y567">
        <v>0</v>
      </c>
      <c r="AA567">
        <f t="shared" si="84"/>
        <v>1</v>
      </c>
      <c r="AB567" t="str">
        <f t="shared" si="85"/>
        <v>2</v>
      </c>
      <c r="AC567">
        <f t="shared" si="86"/>
        <v>0</v>
      </c>
      <c r="AD567">
        <f t="shared" si="87"/>
        <v>0</v>
      </c>
      <c r="AE567">
        <f t="shared" si="88"/>
        <v>1</v>
      </c>
      <c r="AF567">
        <f t="shared" si="89"/>
        <v>0</v>
      </c>
    </row>
    <row r="568" spans="1:32" x14ac:dyDescent="0.3">
      <c r="A568">
        <v>25</v>
      </c>
      <c r="B568">
        <v>96</v>
      </c>
      <c r="C568">
        <v>171</v>
      </c>
      <c r="D568">
        <f t="shared" si="80"/>
        <v>32.830614548066073</v>
      </c>
      <c r="E568">
        <f t="shared" si="81"/>
        <v>3</v>
      </c>
      <c r="F568">
        <v>110</v>
      </c>
      <c r="G568">
        <f t="shared" si="82"/>
        <v>14</v>
      </c>
      <c r="H568">
        <v>1</v>
      </c>
      <c r="I568" t="s">
        <v>32</v>
      </c>
      <c r="J568">
        <v>0</v>
      </c>
      <c r="K568">
        <v>0</v>
      </c>
      <c r="L568">
        <v>0</v>
      </c>
      <c r="M568">
        <v>37</v>
      </c>
      <c r="N568">
        <v>1</v>
      </c>
      <c r="O568">
        <f t="shared" si="83"/>
        <v>37.142857142857146</v>
      </c>
      <c r="P568">
        <v>1</v>
      </c>
      <c r="Q568">
        <v>0</v>
      </c>
      <c r="R568">
        <v>2</v>
      </c>
      <c r="S568" t="s">
        <v>51</v>
      </c>
      <c r="T568">
        <v>0</v>
      </c>
      <c r="U568">
        <v>0</v>
      </c>
      <c r="V568">
        <v>3630</v>
      </c>
      <c r="W568">
        <v>6</v>
      </c>
      <c r="X568">
        <v>2</v>
      </c>
      <c r="Y568">
        <v>1</v>
      </c>
      <c r="Z568" t="s">
        <v>69</v>
      </c>
      <c r="AA568">
        <f t="shared" si="84"/>
        <v>1</v>
      </c>
      <c r="AB568" t="str">
        <f t="shared" si="85"/>
        <v>2</v>
      </c>
      <c r="AC568">
        <f t="shared" si="86"/>
        <v>0</v>
      </c>
      <c r="AD568">
        <f t="shared" si="87"/>
        <v>1</v>
      </c>
      <c r="AE568">
        <f t="shared" si="88"/>
        <v>0</v>
      </c>
      <c r="AF568">
        <f t="shared" si="89"/>
        <v>1</v>
      </c>
    </row>
    <row r="569" spans="1:32" x14ac:dyDescent="0.3">
      <c r="A569">
        <v>25</v>
      </c>
      <c r="B569">
        <v>92</v>
      </c>
      <c r="C569">
        <v>167</v>
      </c>
      <c r="D569">
        <f t="shared" si="80"/>
        <v>32.987916382803256</v>
      </c>
      <c r="E569">
        <f t="shared" si="81"/>
        <v>3</v>
      </c>
      <c r="F569">
        <v>102</v>
      </c>
      <c r="G569">
        <f t="shared" si="82"/>
        <v>10</v>
      </c>
      <c r="H569">
        <v>1</v>
      </c>
      <c r="I569" t="s">
        <v>32</v>
      </c>
      <c r="J569">
        <v>0</v>
      </c>
      <c r="K569">
        <v>0</v>
      </c>
      <c r="L569">
        <v>3</v>
      </c>
      <c r="M569">
        <v>39</v>
      </c>
      <c r="N569">
        <v>4</v>
      </c>
      <c r="O569">
        <f t="shared" si="83"/>
        <v>39.571428571428569</v>
      </c>
      <c r="P569">
        <v>0</v>
      </c>
      <c r="Q569">
        <v>0</v>
      </c>
      <c r="R569">
        <v>0</v>
      </c>
      <c r="T569">
        <v>2</v>
      </c>
      <c r="U569">
        <v>0</v>
      </c>
      <c r="V569">
        <v>3230</v>
      </c>
      <c r="W569">
        <v>9</v>
      </c>
      <c r="X569">
        <v>1</v>
      </c>
      <c r="Y569">
        <v>0</v>
      </c>
      <c r="AA569">
        <f t="shared" si="84"/>
        <v>1</v>
      </c>
      <c r="AB569" t="str">
        <f t="shared" si="85"/>
        <v>0</v>
      </c>
      <c r="AC569">
        <f t="shared" si="86"/>
        <v>0</v>
      </c>
      <c r="AD569">
        <f t="shared" si="87"/>
        <v>0</v>
      </c>
      <c r="AE569">
        <f t="shared" si="88"/>
        <v>0</v>
      </c>
      <c r="AF569">
        <f t="shared" si="89"/>
        <v>0</v>
      </c>
    </row>
    <row r="570" spans="1:32" x14ac:dyDescent="0.3">
      <c r="A570">
        <v>27</v>
      </c>
      <c r="B570">
        <v>67</v>
      </c>
      <c r="C570">
        <v>168</v>
      </c>
      <c r="D570">
        <f t="shared" si="80"/>
        <v>23.738662131519277</v>
      </c>
      <c r="E570">
        <f t="shared" si="81"/>
        <v>2</v>
      </c>
      <c r="F570">
        <v>80</v>
      </c>
      <c r="G570">
        <f t="shared" si="82"/>
        <v>13</v>
      </c>
      <c r="H570">
        <v>0</v>
      </c>
      <c r="J570">
        <v>0</v>
      </c>
      <c r="K570">
        <v>0</v>
      </c>
      <c r="L570">
        <v>1</v>
      </c>
      <c r="M570">
        <v>40</v>
      </c>
      <c r="N570">
        <v>1</v>
      </c>
      <c r="O570">
        <f t="shared" si="83"/>
        <v>40.142857142857146</v>
      </c>
      <c r="P570">
        <v>0</v>
      </c>
      <c r="Q570">
        <v>0</v>
      </c>
      <c r="R570">
        <v>0</v>
      </c>
      <c r="T570">
        <v>0</v>
      </c>
      <c r="U570">
        <v>0</v>
      </c>
      <c r="V570">
        <v>3780</v>
      </c>
      <c r="W570">
        <v>10</v>
      </c>
      <c r="X570">
        <v>0</v>
      </c>
      <c r="Y570">
        <v>0</v>
      </c>
      <c r="AA570">
        <f t="shared" si="84"/>
        <v>1</v>
      </c>
      <c r="AB570" t="str">
        <f t="shared" si="85"/>
        <v>0</v>
      </c>
      <c r="AC570">
        <f t="shared" si="86"/>
        <v>0</v>
      </c>
      <c r="AD570">
        <f t="shared" si="87"/>
        <v>0</v>
      </c>
      <c r="AE570">
        <f t="shared" si="88"/>
        <v>0</v>
      </c>
      <c r="AF570">
        <f t="shared" si="89"/>
        <v>0</v>
      </c>
    </row>
    <row r="571" spans="1:32" x14ac:dyDescent="0.3">
      <c r="A571">
        <v>46</v>
      </c>
      <c r="B571">
        <v>50</v>
      </c>
      <c r="C571">
        <v>150</v>
      </c>
      <c r="D571">
        <f t="shared" si="80"/>
        <v>22.222222222222221</v>
      </c>
      <c r="E571">
        <f t="shared" si="81"/>
        <v>1</v>
      </c>
      <c r="F571">
        <v>59</v>
      </c>
      <c r="G571">
        <f t="shared" si="82"/>
        <v>9</v>
      </c>
      <c r="H571">
        <v>0</v>
      </c>
      <c r="J571">
        <v>0</v>
      </c>
      <c r="K571">
        <v>0</v>
      </c>
      <c r="L571">
        <v>3</v>
      </c>
      <c r="M571">
        <v>40</v>
      </c>
      <c r="N571">
        <v>5</v>
      </c>
      <c r="O571">
        <f t="shared" si="83"/>
        <v>40.714285714285715</v>
      </c>
      <c r="P571">
        <v>0</v>
      </c>
      <c r="Q571">
        <v>0</v>
      </c>
      <c r="R571">
        <v>0</v>
      </c>
      <c r="T571">
        <v>2</v>
      </c>
      <c r="U571">
        <v>0</v>
      </c>
      <c r="V571">
        <v>3560</v>
      </c>
      <c r="W571">
        <v>9</v>
      </c>
      <c r="X571">
        <v>1</v>
      </c>
      <c r="Y571">
        <v>0</v>
      </c>
      <c r="AA571">
        <f t="shared" si="84"/>
        <v>0</v>
      </c>
      <c r="AB571" t="str">
        <f t="shared" si="85"/>
        <v>0</v>
      </c>
      <c r="AC571">
        <f t="shared" si="86"/>
        <v>0</v>
      </c>
      <c r="AD571">
        <f t="shared" si="87"/>
        <v>0</v>
      </c>
      <c r="AE571">
        <f t="shared" si="88"/>
        <v>0</v>
      </c>
      <c r="AF571">
        <f t="shared" si="89"/>
        <v>0</v>
      </c>
    </row>
    <row r="572" spans="1:32" x14ac:dyDescent="0.3">
      <c r="A572">
        <v>30</v>
      </c>
      <c r="B572">
        <v>53</v>
      </c>
      <c r="C572">
        <v>165</v>
      </c>
      <c r="D572">
        <f t="shared" si="80"/>
        <v>19.467401285583104</v>
      </c>
      <c r="E572">
        <f t="shared" si="81"/>
        <v>1</v>
      </c>
      <c r="F572">
        <v>82</v>
      </c>
      <c r="G572">
        <f t="shared" si="82"/>
        <v>29</v>
      </c>
      <c r="H572">
        <v>0</v>
      </c>
      <c r="J572">
        <v>0</v>
      </c>
      <c r="K572">
        <v>0</v>
      </c>
      <c r="L572">
        <v>0</v>
      </c>
      <c r="M572">
        <v>40</v>
      </c>
      <c r="N572">
        <v>3</v>
      </c>
      <c r="O572">
        <f t="shared" si="83"/>
        <v>40.428571428571431</v>
      </c>
      <c r="P572">
        <v>0</v>
      </c>
      <c r="Q572">
        <v>0</v>
      </c>
      <c r="R572">
        <v>3</v>
      </c>
      <c r="S572" t="s">
        <v>35</v>
      </c>
      <c r="T572">
        <v>0</v>
      </c>
      <c r="U572">
        <v>0</v>
      </c>
      <c r="V572">
        <v>3830</v>
      </c>
      <c r="W572">
        <v>9</v>
      </c>
      <c r="X572">
        <v>1</v>
      </c>
      <c r="Y572">
        <v>0</v>
      </c>
      <c r="AA572">
        <f t="shared" si="84"/>
        <v>1</v>
      </c>
      <c r="AB572" t="str">
        <f t="shared" si="85"/>
        <v>0</v>
      </c>
      <c r="AC572">
        <f t="shared" si="86"/>
        <v>0</v>
      </c>
      <c r="AD572">
        <f t="shared" si="87"/>
        <v>0</v>
      </c>
      <c r="AE572">
        <f t="shared" si="88"/>
        <v>1</v>
      </c>
      <c r="AF572">
        <f t="shared" si="89"/>
        <v>0</v>
      </c>
    </row>
    <row r="573" spans="1:32" x14ac:dyDescent="0.3">
      <c r="A573">
        <v>35</v>
      </c>
      <c r="B573">
        <v>52</v>
      </c>
      <c r="C573">
        <v>155</v>
      </c>
      <c r="D573">
        <f t="shared" si="80"/>
        <v>21.644120707596251</v>
      </c>
      <c r="E573">
        <f t="shared" si="81"/>
        <v>1</v>
      </c>
      <c r="F573">
        <v>60</v>
      </c>
      <c r="G573">
        <f t="shared" si="82"/>
        <v>8</v>
      </c>
      <c r="H573">
        <v>0</v>
      </c>
      <c r="J573">
        <v>0</v>
      </c>
      <c r="K573">
        <v>0</v>
      </c>
      <c r="L573">
        <v>0</v>
      </c>
      <c r="M573">
        <v>39</v>
      </c>
      <c r="N573">
        <v>4</v>
      </c>
      <c r="O573">
        <f t="shared" si="83"/>
        <v>39.571428571428569</v>
      </c>
      <c r="P573">
        <v>0</v>
      </c>
      <c r="Q573">
        <v>0</v>
      </c>
      <c r="R573">
        <v>3</v>
      </c>
      <c r="S573" t="s">
        <v>49</v>
      </c>
      <c r="T573">
        <v>0</v>
      </c>
      <c r="U573">
        <v>0</v>
      </c>
      <c r="V573">
        <v>3310</v>
      </c>
      <c r="W573">
        <v>8</v>
      </c>
      <c r="X573">
        <v>1</v>
      </c>
      <c r="Y573">
        <v>0</v>
      </c>
      <c r="AA573">
        <f t="shared" si="84"/>
        <v>0</v>
      </c>
      <c r="AB573" t="str">
        <f t="shared" si="85"/>
        <v>0</v>
      </c>
      <c r="AC573">
        <f t="shared" si="86"/>
        <v>0</v>
      </c>
      <c r="AD573">
        <f t="shared" si="87"/>
        <v>0</v>
      </c>
      <c r="AE573">
        <f t="shared" si="88"/>
        <v>1</v>
      </c>
      <c r="AF573">
        <f t="shared" si="89"/>
        <v>0</v>
      </c>
    </row>
    <row r="574" spans="1:32" x14ac:dyDescent="0.3">
      <c r="A574">
        <v>20</v>
      </c>
      <c r="B574">
        <v>50</v>
      </c>
      <c r="C574">
        <v>172</v>
      </c>
      <c r="D574">
        <f t="shared" si="80"/>
        <v>16.901027582477017</v>
      </c>
      <c r="E574">
        <f t="shared" si="81"/>
        <v>0</v>
      </c>
      <c r="F574">
        <v>65</v>
      </c>
      <c r="G574">
        <f t="shared" si="82"/>
        <v>15</v>
      </c>
      <c r="H574">
        <v>0</v>
      </c>
      <c r="J574">
        <v>0</v>
      </c>
      <c r="K574">
        <v>0</v>
      </c>
      <c r="L574">
        <v>1</v>
      </c>
      <c r="M574">
        <v>39</v>
      </c>
      <c r="N574">
        <v>6</v>
      </c>
      <c r="O574">
        <f t="shared" si="83"/>
        <v>39.857142857142854</v>
      </c>
      <c r="P574">
        <v>0</v>
      </c>
      <c r="Q574">
        <v>0</v>
      </c>
      <c r="R574">
        <v>0</v>
      </c>
      <c r="T574">
        <v>0</v>
      </c>
      <c r="U574">
        <v>0</v>
      </c>
      <c r="V574">
        <v>2920</v>
      </c>
      <c r="W574">
        <v>9</v>
      </c>
      <c r="X574">
        <v>1</v>
      </c>
      <c r="Y574">
        <v>0</v>
      </c>
      <c r="AA574">
        <f t="shared" si="84"/>
        <v>0</v>
      </c>
      <c r="AB574" t="str">
        <f t="shared" si="85"/>
        <v>0</v>
      </c>
      <c r="AC574">
        <f t="shared" si="86"/>
        <v>0</v>
      </c>
      <c r="AD574">
        <f t="shared" si="87"/>
        <v>0</v>
      </c>
      <c r="AE574">
        <f t="shared" si="88"/>
        <v>0</v>
      </c>
      <c r="AF574">
        <f t="shared" si="89"/>
        <v>0</v>
      </c>
    </row>
    <row r="575" spans="1:32" x14ac:dyDescent="0.3">
      <c r="A575">
        <v>22</v>
      </c>
      <c r="B575">
        <v>60</v>
      </c>
      <c r="C575">
        <v>158</v>
      </c>
      <c r="D575">
        <f t="shared" si="80"/>
        <v>24.034609838166958</v>
      </c>
      <c r="E575">
        <f t="shared" si="81"/>
        <v>2</v>
      </c>
      <c r="F575">
        <v>77</v>
      </c>
      <c r="G575">
        <f t="shared" si="82"/>
        <v>17</v>
      </c>
      <c r="H575">
        <v>0</v>
      </c>
      <c r="J575">
        <v>0</v>
      </c>
      <c r="K575">
        <v>0</v>
      </c>
      <c r="L575">
        <v>0</v>
      </c>
      <c r="M575">
        <v>40</v>
      </c>
      <c r="N575">
        <v>6</v>
      </c>
      <c r="O575">
        <f t="shared" si="83"/>
        <v>40.857142857142854</v>
      </c>
      <c r="P575">
        <v>0</v>
      </c>
      <c r="Q575">
        <v>0</v>
      </c>
      <c r="R575">
        <v>0</v>
      </c>
      <c r="T575">
        <v>0</v>
      </c>
      <c r="U575">
        <v>0</v>
      </c>
      <c r="V575">
        <v>3140</v>
      </c>
      <c r="W575">
        <v>8</v>
      </c>
      <c r="X575">
        <v>1</v>
      </c>
      <c r="Y575">
        <v>0</v>
      </c>
      <c r="AA575">
        <f t="shared" si="84"/>
        <v>1</v>
      </c>
      <c r="AB575" t="str">
        <f t="shared" si="85"/>
        <v>0</v>
      </c>
      <c r="AC575">
        <f t="shared" si="86"/>
        <v>0</v>
      </c>
      <c r="AD575">
        <f t="shared" si="87"/>
        <v>0</v>
      </c>
      <c r="AE575">
        <f t="shared" si="88"/>
        <v>0</v>
      </c>
      <c r="AF575">
        <f t="shared" si="89"/>
        <v>0</v>
      </c>
    </row>
    <row r="576" spans="1:32" x14ac:dyDescent="0.3">
      <c r="A576">
        <v>31</v>
      </c>
      <c r="B576">
        <v>65</v>
      </c>
      <c r="C576">
        <v>155</v>
      </c>
      <c r="D576">
        <f t="shared" si="80"/>
        <v>27.055150884495315</v>
      </c>
      <c r="E576">
        <f t="shared" si="81"/>
        <v>3</v>
      </c>
      <c r="F576">
        <v>65</v>
      </c>
      <c r="G576">
        <f t="shared" si="82"/>
        <v>0</v>
      </c>
      <c r="H576">
        <v>1</v>
      </c>
      <c r="I576" t="s">
        <v>32</v>
      </c>
      <c r="J576">
        <v>0</v>
      </c>
      <c r="K576">
        <v>1</v>
      </c>
      <c r="L576">
        <v>1</v>
      </c>
      <c r="M576">
        <v>38</v>
      </c>
      <c r="N576">
        <v>6</v>
      </c>
      <c r="O576">
        <f t="shared" si="83"/>
        <v>38.857142857142854</v>
      </c>
      <c r="P576">
        <v>0</v>
      </c>
      <c r="Q576">
        <v>0</v>
      </c>
      <c r="R576">
        <v>3</v>
      </c>
      <c r="S576" t="s">
        <v>34</v>
      </c>
      <c r="T576">
        <v>0</v>
      </c>
      <c r="U576">
        <v>0</v>
      </c>
      <c r="V576">
        <v>2960</v>
      </c>
      <c r="W576">
        <v>9</v>
      </c>
      <c r="X576">
        <v>1</v>
      </c>
      <c r="Y576">
        <v>0</v>
      </c>
      <c r="AA576">
        <f t="shared" si="84"/>
        <v>0</v>
      </c>
      <c r="AB576" t="str">
        <f t="shared" si="85"/>
        <v>0</v>
      </c>
      <c r="AC576">
        <f t="shared" si="86"/>
        <v>0</v>
      </c>
      <c r="AD576">
        <f t="shared" si="87"/>
        <v>0</v>
      </c>
      <c r="AE576">
        <f t="shared" si="88"/>
        <v>1</v>
      </c>
      <c r="AF576">
        <f t="shared" si="89"/>
        <v>0</v>
      </c>
    </row>
    <row r="577" spans="1:32" x14ac:dyDescent="0.3">
      <c r="A577">
        <v>32</v>
      </c>
      <c r="B577">
        <v>63</v>
      </c>
      <c r="C577">
        <v>158</v>
      </c>
      <c r="D577">
        <f t="shared" si="80"/>
        <v>25.236340330075304</v>
      </c>
      <c r="E577">
        <f t="shared" si="81"/>
        <v>3</v>
      </c>
      <c r="F577">
        <v>72</v>
      </c>
      <c r="G577">
        <f t="shared" si="82"/>
        <v>9</v>
      </c>
      <c r="H577">
        <v>1</v>
      </c>
      <c r="I577" t="s">
        <v>32</v>
      </c>
      <c r="J577">
        <v>0</v>
      </c>
      <c r="K577">
        <v>1</v>
      </c>
      <c r="L577">
        <v>2</v>
      </c>
      <c r="M577">
        <v>38</v>
      </c>
      <c r="N577">
        <v>6</v>
      </c>
      <c r="O577">
        <f t="shared" si="83"/>
        <v>38.857142857142854</v>
      </c>
      <c r="P577">
        <v>1</v>
      </c>
      <c r="Q577">
        <v>0</v>
      </c>
      <c r="R577">
        <v>3</v>
      </c>
      <c r="S577" t="s">
        <v>34</v>
      </c>
      <c r="T577">
        <v>0</v>
      </c>
      <c r="U577">
        <v>0</v>
      </c>
      <c r="V577">
        <v>2830</v>
      </c>
      <c r="W577">
        <v>9</v>
      </c>
      <c r="X577">
        <v>1</v>
      </c>
      <c r="Y577">
        <v>0</v>
      </c>
      <c r="AA577">
        <f t="shared" si="84"/>
        <v>0</v>
      </c>
      <c r="AB577" t="str">
        <f t="shared" si="85"/>
        <v>0</v>
      </c>
      <c r="AC577">
        <f t="shared" si="86"/>
        <v>0</v>
      </c>
      <c r="AD577">
        <f t="shared" si="87"/>
        <v>0</v>
      </c>
      <c r="AE577">
        <f t="shared" si="88"/>
        <v>1</v>
      </c>
      <c r="AF577">
        <f t="shared" si="89"/>
        <v>0</v>
      </c>
    </row>
    <row r="578" spans="1:32" x14ac:dyDescent="0.3">
      <c r="A578">
        <v>33</v>
      </c>
      <c r="B578">
        <v>50</v>
      </c>
      <c r="C578">
        <v>155</v>
      </c>
      <c r="D578">
        <f t="shared" si="80"/>
        <v>20.811654526534856</v>
      </c>
      <c r="E578">
        <f t="shared" si="81"/>
        <v>1</v>
      </c>
      <c r="F578">
        <v>63</v>
      </c>
      <c r="G578">
        <f t="shared" si="82"/>
        <v>13</v>
      </c>
      <c r="H578">
        <v>0</v>
      </c>
      <c r="J578">
        <v>0</v>
      </c>
      <c r="K578">
        <v>1</v>
      </c>
      <c r="L578">
        <v>1</v>
      </c>
      <c r="M578">
        <v>39</v>
      </c>
      <c r="N578">
        <v>0</v>
      </c>
      <c r="O578">
        <f t="shared" si="83"/>
        <v>39</v>
      </c>
      <c r="P578">
        <v>1</v>
      </c>
      <c r="Q578">
        <v>0</v>
      </c>
      <c r="R578">
        <v>3</v>
      </c>
      <c r="S578" t="s">
        <v>34</v>
      </c>
      <c r="T578">
        <v>0</v>
      </c>
      <c r="U578">
        <v>0</v>
      </c>
      <c r="V578">
        <v>2920</v>
      </c>
      <c r="W578">
        <v>9</v>
      </c>
      <c r="X578">
        <v>1</v>
      </c>
      <c r="Y578">
        <v>0</v>
      </c>
      <c r="AA578">
        <f t="shared" si="84"/>
        <v>0</v>
      </c>
      <c r="AB578" t="str">
        <f t="shared" si="85"/>
        <v>0</v>
      </c>
      <c r="AC578">
        <f t="shared" si="86"/>
        <v>0</v>
      </c>
      <c r="AD578">
        <f t="shared" si="87"/>
        <v>0</v>
      </c>
      <c r="AE578">
        <f t="shared" si="88"/>
        <v>1</v>
      </c>
      <c r="AF578">
        <f t="shared" si="89"/>
        <v>0</v>
      </c>
    </row>
    <row r="579" spans="1:32" x14ac:dyDescent="0.3">
      <c r="A579">
        <v>26</v>
      </c>
      <c r="B579">
        <v>42</v>
      </c>
      <c r="C579">
        <v>146</v>
      </c>
      <c r="D579">
        <f t="shared" si="80"/>
        <v>19.703509101144682</v>
      </c>
      <c r="E579">
        <f t="shared" si="81"/>
        <v>1</v>
      </c>
      <c r="F579">
        <v>53</v>
      </c>
      <c r="G579">
        <f t="shared" si="82"/>
        <v>11</v>
      </c>
      <c r="H579">
        <v>0</v>
      </c>
      <c r="J579">
        <v>0</v>
      </c>
      <c r="K579">
        <v>0</v>
      </c>
      <c r="L579">
        <v>0</v>
      </c>
      <c r="M579">
        <v>38</v>
      </c>
      <c r="N579">
        <v>2</v>
      </c>
      <c r="O579">
        <f t="shared" si="83"/>
        <v>38.285714285714285</v>
      </c>
      <c r="P579">
        <v>0</v>
      </c>
      <c r="Q579">
        <v>0</v>
      </c>
      <c r="R579">
        <v>0</v>
      </c>
      <c r="T579">
        <v>0</v>
      </c>
      <c r="U579">
        <v>0</v>
      </c>
      <c r="V579">
        <v>2990</v>
      </c>
      <c r="W579">
        <v>9</v>
      </c>
      <c r="X579">
        <v>1</v>
      </c>
      <c r="Y579">
        <v>0</v>
      </c>
      <c r="AA579">
        <f t="shared" si="84"/>
        <v>0</v>
      </c>
      <c r="AB579" t="str">
        <f t="shared" si="85"/>
        <v>0</v>
      </c>
      <c r="AC579">
        <f t="shared" si="86"/>
        <v>0</v>
      </c>
      <c r="AD579">
        <f t="shared" si="87"/>
        <v>0</v>
      </c>
      <c r="AE579">
        <f t="shared" si="88"/>
        <v>0</v>
      </c>
      <c r="AF579">
        <f t="shared" si="89"/>
        <v>0</v>
      </c>
    </row>
    <row r="580" spans="1:32" x14ac:dyDescent="0.3">
      <c r="A580">
        <v>35</v>
      </c>
      <c r="B580">
        <v>46</v>
      </c>
      <c r="C580">
        <v>165</v>
      </c>
      <c r="D580">
        <f t="shared" ref="D580:D598" si="90">B580/((C580/100)^2)</f>
        <v>16.896235078053262</v>
      </c>
      <c r="E580">
        <f t="shared" ref="E580:E598" si="91">IF(D580&lt;18.5,0,IF(D580&lt;23,1,IF(D580&lt;25,2,3)))</f>
        <v>0</v>
      </c>
      <c r="F580">
        <v>50.5</v>
      </c>
      <c r="G580">
        <f t="shared" ref="G580:G598" si="92">F580-B580</f>
        <v>4.5</v>
      </c>
      <c r="H580">
        <v>0</v>
      </c>
      <c r="J580">
        <v>0</v>
      </c>
      <c r="K580">
        <v>0</v>
      </c>
      <c r="L580">
        <v>1</v>
      </c>
      <c r="M580">
        <v>38</v>
      </c>
      <c r="N580">
        <v>1</v>
      </c>
      <c r="O580">
        <f t="shared" ref="O580:O598" si="93">M580+(N580/7)</f>
        <v>38.142857142857146</v>
      </c>
      <c r="P580">
        <v>0</v>
      </c>
      <c r="Q580">
        <v>0</v>
      </c>
      <c r="R580">
        <v>0</v>
      </c>
      <c r="T580">
        <v>0</v>
      </c>
      <c r="U580">
        <v>0</v>
      </c>
      <c r="V580">
        <v>2580</v>
      </c>
      <c r="W580">
        <v>9</v>
      </c>
      <c r="X580">
        <v>1</v>
      </c>
      <c r="Y580">
        <v>1</v>
      </c>
      <c r="Z580" t="s">
        <v>69</v>
      </c>
      <c r="AA580">
        <f t="shared" ref="AA580:AA598" si="94">IF(OR(AND(E580=0,G580&gt;18.2),AND(E580=1,G580&gt;15.9),AND(E580=2,G580&gt;11.3),AND(E580=3,G580&gt;9.1)),1,0)</f>
        <v>0</v>
      </c>
      <c r="AB580" t="str">
        <f t="shared" ref="AB580:AB598" si="95">IF(OR(AND(O580&lt;38,V580&gt;3324),AND(O580&lt;39,V580&gt;3540),AND(O580&lt;40,V580&gt;3726),AND(O580&lt;42,V580&gt;3871)),"2",IF(OR(AND(O580&gt;36.9,V580&lt;2323),AND(O580&gt;37.9,V580&lt;2496),AND(O580&gt;38.9,V580&lt;2658),AND(O580&gt;39.9,V580&lt;2805)),"1","0"))</f>
        <v>0</v>
      </c>
      <c r="AC580">
        <f t="shared" ref="AC580:AC598" si="96">IF(V580&lt;4000,0,1)</f>
        <v>0</v>
      </c>
      <c r="AD580">
        <f t="shared" ref="AD580:AD598" si="97">IF(W580&gt;7,0,1)</f>
        <v>0</v>
      </c>
      <c r="AE580">
        <f t="shared" ref="AE580:AE598" si="98">IF(R580=3,1,0)</f>
        <v>0</v>
      </c>
      <c r="AF580">
        <f t="shared" ref="AF580:AF598" si="99">IF(X580=2,1,0)</f>
        <v>0</v>
      </c>
    </row>
    <row r="581" spans="1:32" x14ac:dyDescent="0.3">
      <c r="A581">
        <v>28</v>
      </c>
      <c r="B581">
        <v>62</v>
      </c>
      <c r="C581">
        <v>155</v>
      </c>
      <c r="D581">
        <f t="shared" si="90"/>
        <v>25.806451612903224</v>
      </c>
      <c r="E581">
        <f t="shared" si="91"/>
        <v>3</v>
      </c>
      <c r="F581">
        <v>79</v>
      </c>
      <c r="G581">
        <f t="shared" si="92"/>
        <v>17</v>
      </c>
      <c r="H581">
        <v>1</v>
      </c>
      <c r="I581" t="s">
        <v>32</v>
      </c>
      <c r="J581">
        <v>0</v>
      </c>
      <c r="K581">
        <v>1</v>
      </c>
      <c r="L581">
        <v>1</v>
      </c>
      <c r="M581">
        <v>38</v>
      </c>
      <c r="N581">
        <v>1</v>
      </c>
      <c r="O581">
        <f t="shared" si="93"/>
        <v>38.142857142857146</v>
      </c>
      <c r="P581">
        <v>0</v>
      </c>
      <c r="Q581">
        <v>0</v>
      </c>
      <c r="R581">
        <v>3</v>
      </c>
      <c r="S581" t="s">
        <v>34</v>
      </c>
      <c r="T581">
        <v>0</v>
      </c>
      <c r="U581">
        <v>0</v>
      </c>
      <c r="V581">
        <v>3090</v>
      </c>
      <c r="W581">
        <v>8</v>
      </c>
      <c r="X581">
        <v>1</v>
      </c>
      <c r="Y581">
        <v>0</v>
      </c>
      <c r="AA581">
        <f t="shared" si="94"/>
        <v>1</v>
      </c>
      <c r="AB581" t="str">
        <f t="shared" si="95"/>
        <v>0</v>
      </c>
      <c r="AC581">
        <f t="shared" si="96"/>
        <v>0</v>
      </c>
      <c r="AD581">
        <f t="shared" si="97"/>
        <v>0</v>
      </c>
      <c r="AE581">
        <f t="shared" si="98"/>
        <v>1</v>
      </c>
      <c r="AF581">
        <f t="shared" si="99"/>
        <v>0</v>
      </c>
    </row>
    <row r="582" spans="1:32" x14ac:dyDescent="0.3">
      <c r="A582">
        <v>21</v>
      </c>
      <c r="B582">
        <v>58</v>
      </c>
      <c r="C582">
        <v>161</v>
      </c>
      <c r="D582">
        <f t="shared" si="90"/>
        <v>22.375679950619187</v>
      </c>
      <c r="E582">
        <f t="shared" si="91"/>
        <v>1</v>
      </c>
      <c r="F582">
        <v>84</v>
      </c>
      <c r="G582">
        <f t="shared" si="92"/>
        <v>26</v>
      </c>
      <c r="H582">
        <v>0</v>
      </c>
      <c r="J582">
        <v>0</v>
      </c>
      <c r="K582">
        <v>1</v>
      </c>
      <c r="L582">
        <v>1</v>
      </c>
      <c r="M582">
        <v>38</v>
      </c>
      <c r="N582">
        <v>2</v>
      </c>
      <c r="O582">
        <f t="shared" si="93"/>
        <v>38.285714285714285</v>
      </c>
      <c r="P582">
        <v>0</v>
      </c>
      <c r="Q582">
        <v>1</v>
      </c>
      <c r="R582">
        <v>3</v>
      </c>
      <c r="S582" t="s">
        <v>34</v>
      </c>
      <c r="T582">
        <v>0</v>
      </c>
      <c r="U582">
        <v>0</v>
      </c>
      <c r="V582">
        <v>2870</v>
      </c>
      <c r="W582">
        <v>8</v>
      </c>
      <c r="X582">
        <v>1</v>
      </c>
      <c r="Y582">
        <v>0</v>
      </c>
      <c r="AA582">
        <f t="shared" si="94"/>
        <v>1</v>
      </c>
      <c r="AB582" t="str">
        <f t="shared" si="95"/>
        <v>0</v>
      </c>
      <c r="AC582">
        <f t="shared" si="96"/>
        <v>0</v>
      </c>
      <c r="AD582">
        <f t="shared" si="97"/>
        <v>0</v>
      </c>
      <c r="AE582">
        <f t="shared" si="98"/>
        <v>1</v>
      </c>
      <c r="AF582">
        <f t="shared" si="99"/>
        <v>0</v>
      </c>
    </row>
    <row r="583" spans="1:32" x14ac:dyDescent="0.3">
      <c r="A583">
        <v>30</v>
      </c>
      <c r="B583">
        <v>52</v>
      </c>
      <c r="C583">
        <v>158</v>
      </c>
      <c r="D583">
        <f t="shared" si="90"/>
        <v>20.82999519307803</v>
      </c>
      <c r="E583">
        <f t="shared" si="91"/>
        <v>1</v>
      </c>
      <c r="F583">
        <v>87</v>
      </c>
      <c r="G583">
        <f t="shared" si="92"/>
        <v>35</v>
      </c>
      <c r="H583">
        <v>0</v>
      </c>
      <c r="J583">
        <v>0</v>
      </c>
      <c r="K583">
        <v>0</v>
      </c>
      <c r="L583">
        <v>3</v>
      </c>
      <c r="M583">
        <v>38</v>
      </c>
      <c r="N583">
        <v>4</v>
      </c>
      <c r="O583">
        <f t="shared" si="93"/>
        <v>38.571428571428569</v>
      </c>
      <c r="P583">
        <v>0</v>
      </c>
      <c r="Q583">
        <v>0</v>
      </c>
      <c r="R583">
        <v>3</v>
      </c>
      <c r="S583" t="s">
        <v>34</v>
      </c>
      <c r="T583">
        <v>0</v>
      </c>
      <c r="U583">
        <v>0</v>
      </c>
      <c r="V583">
        <v>2940</v>
      </c>
      <c r="W583">
        <v>9</v>
      </c>
      <c r="X583">
        <v>1</v>
      </c>
      <c r="Y583">
        <v>0</v>
      </c>
      <c r="AA583">
        <f t="shared" si="94"/>
        <v>1</v>
      </c>
      <c r="AB583" t="str">
        <f t="shared" si="95"/>
        <v>0</v>
      </c>
      <c r="AC583">
        <f t="shared" si="96"/>
        <v>0</v>
      </c>
      <c r="AD583">
        <f t="shared" si="97"/>
        <v>0</v>
      </c>
      <c r="AE583">
        <f t="shared" si="98"/>
        <v>1</v>
      </c>
      <c r="AF583">
        <f t="shared" si="99"/>
        <v>0</v>
      </c>
    </row>
    <row r="584" spans="1:32" x14ac:dyDescent="0.3">
      <c r="A584">
        <v>32</v>
      </c>
      <c r="B584">
        <v>60</v>
      </c>
      <c r="C584">
        <v>153</v>
      </c>
      <c r="D584">
        <f t="shared" si="90"/>
        <v>25.631167499679609</v>
      </c>
      <c r="E584">
        <f t="shared" si="91"/>
        <v>3</v>
      </c>
      <c r="F584">
        <v>68</v>
      </c>
      <c r="G584">
        <f t="shared" si="92"/>
        <v>8</v>
      </c>
      <c r="H584">
        <v>1</v>
      </c>
      <c r="I584" t="s">
        <v>32</v>
      </c>
      <c r="J584">
        <v>0</v>
      </c>
      <c r="K584">
        <v>0</v>
      </c>
      <c r="L584">
        <v>2</v>
      </c>
      <c r="M584">
        <v>39</v>
      </c>
      <c r="N584">
        <v>3</v>
      </c>
      <c r="O584">
        <f t="shared" si="93"/>
        <v>39.428571428571431</v>
      </c>
      <c r="P584">
        <v>0</v>
      </c>
      <c r="Q584">
        <v>0</v>
      </c>
      <c r="R584">
        <v>0</v>
      </c>
      <c r="T584">
        <v>0</v>
      </c>
      <c r="U584">
        <v>0</v>
      </c>
      <c r="V584">
        <v>3910</v>
      </c>
      <c r="W584">
        <v>9</v>
      </c>
      <c r="X584">
        <v>1</v>
      </c>
      <c r="Y584">
        <v>0</v>
      </c>
      <c r="AA584">
        <f t="shared" si="94"/>
        <v>0</v>
      </c>
      <c r="AB584" t="str">
        <f t="shared" si="95"/>
        <v>2</v>
      </c>
      <c r="AC584">
        <f t="shared" si="96"/>
        <v>0</v>
      </c>
      <c r="AD584">
        <f t="shared" si="97"/>
        <v>0</v>
      </c>
      <c r="AE584">
        <f t="shared" si="98"/>
        <v>0</v>
      </c>
      <c r="AF584">
        <f t="shared" si="99"/>
        <v>0</v>
      </c>
    </row>
    <row r="585" spans="1:32" x14ac:dyDescent="0.3">
      <c r="A585">
        <v>25</v>
      </c>
      <c r="B585">
        <v>55</v>
      </c>
      <c r="C585">
        <v>160</v>
      </c>
      <c r="D585">
        <f t="shared" si="90"/>
        <v>21.484374999999996</v>
      </c>
      <c r="E585">
        <f t="shared" si="91"/>
        <v>1</v>
      </c>
      <c r="F585">
        <v>69</v>
      </c>
      <c r="G585">
        <f t="shared" si="92"/>
        <v>14</v>
      </c>
      <c r="H585">
        <v>0</v>
      </c>
      <c r="J585">
        <v>0</v>
      </c>
      <c r="K585">
        <v>0</v>
      </c>
      <c r="L585">
        <v>0</v>
      </c>
      <c r="M585">
        <v>38</v>
      </c>
      <c r="N585">
        <v>1</v>
      </c>
      <c r="O585">
        <f t="shared" si="93"/>
        <v>38.142857142857146</v>
      </c>
      <c r="P585">
        <v>0</v>
      </c>
      <c r="Q585">
        <v>0</v>
      </c>
      <c r="R585">
        <v>0</v>
      </c>
      <c r="T585">
        <v>0</v>
      </c>
      <c r="U585">
        <v>0</v>
      </c>
      <c r="V585">
        <v>2900</v>
      </c>
      <c r="W585">
        <v>9</v>
      </c>
      <c r="X585">
        <v>1</v>
      </c>
      <c r="Y585">
        <v>0</v>
      </c>
      <c r="AA585">
        <f t="shared" si="94"/>
        <v>0</v>
      </c>
      <c r="AB585" t="str">
        <f t="shared" si="95"/>
        <v>0</v>
      </c>
      <c r="AC585">
        <f t="shared" si="96"/>
        <v>0</v>
      </c>
      <c r="AD585">
        <f t="shared" si="97"/>
        <v>0</v>
      </c>
      <c r="AE585">
        <f t="shared" si="98"/>
        <v>0</v>
      </c>
      <c r="AF585">
        <f t="shared" si="99"/>
        <v>0</v>
      </c>
    </row>
    <row r="586" spans="1:32" x14ac:dyDescent="0.3">
      <c r="A586">
        <v>24</v>
      </c>
      <c r="B586">
        <v>49</v>
      </c>
      <c r="C586">
        <v>160</v>
      </c>
      <c r="D586">
        <f t="shared" si="90"/>
        <v>19.140624999999996</v>
      </c>
      <c r="E586">
        <f t="shared" si="91"/>
        <v>1</v>
      </c>
      <c r="F586">
        <v>56</v>
      </c>
      <c r="G586">
        <f t="shared" si="92"/>
        <v>7</v>
      </c>
      <c r="H586">
        <v>0</v>
      </c>
      <c r="J586">
        <v>0</v>
      </c>
      <c r="K586">
        <v>0</v>
      </c>
      <c r="L586">
        <v>0</v>
      </c>
      <c r="M586">
        <v>37</v>
      </c>
      <c r="N586">
        <v>4</v>
      </c>
      <c r="O586">
        <f t="shared" si="93"/>
        <v>37.571428571428569</v>
      </c>
      <c r="P586">
        <v>0</v>
      </c>
      <c r="Q586">
        <v>0</v>
      </c>
      <c r="R586">
        <v>0</v>
      </c>
      <c r="T586">
        <v>0</v>
      </c>
      <c r="U586">
        <v>0</v>
      </c>
      <c r="V586">
        <v>2830</v>
      </c>
      <c r="W586">
        <v>9</v>
      </c>
      <c r="X586">
        <v>1</v>
      </c>
      <c r="Y586">
        <v>0</v>
      </c>
      <c r="AA586">
        <f t="shared" si="94"/>
        <v>0</v>
      </c>
      <c r="AB586" t="str">
        <f t="shared" si="95"/>
        <v>0</v>
      </c>
      <c r="AC586">
        <f t="shared" si="96"/>
        <v>0</v>
      </c>
      <c r="AD586">
        <f t="shared" si="97"/>
        <v>0</v>
      </c>
      <c r="AE586">
        <f t="shared" si="98"/>
        <v>0</v>
      </c>
      <c r="AF586">
        <f t="shared" si="99"/>
        <v>0</v>
      </c>
    </row>
    <row r="587" spans="1:32" x14ac:dyDescent="0.3">
      <c r="A587">
        <v>35</v>
      </c>
      <c r="B587">
        <v>62</v>
      </c>
      <c r="C587">
        <v>156</v>
      </c>
      <c r="D587">
        <f t="shared" si="90"/>
        <v>25.476660092044707</v>
      </c>
      <c r="E587">
        <f t="shared" si="91"/>
        <v>3</v>
      </c>
      <c r="F587">
        <v>62</v>
      </c>
      <c r="G587">
        <f t="shared" si="92"/>
        <v>0</v>
      </c>
      <c r="H587">
        <v>0</v>
      </c>
      <c r="J587">
        <v>0</v>
      </c>
      <c r="K587">
        <v>0</v>
      </c>
      <c r="L587">
        <v>1</v>
      </c>
      <c r="M587">
        <v>38</v>
      </c>
      <c r="N587">
        <v>5</v>
      </c>
      <c r="O587">
        <f t="shared" si="93"/>
        <v>38.714285714285715</v>
      </c>
      <c r="P587">
        <v>1</v>
      </c>
      <c r="Q587">
        <v>0</v>
      </c>
      <c r="R587">
        <v>0</v>
      </c>
      <c r="T587">
        <v>0</v>
      </c>
      <c r="U587">
        <v>0</v>
      </c>
      <c r="V587">
        <v>2710</v>
      </c>
      <c r="W587">
        <v>9</v>
      </c>
      <c r="X587">
        <v>1</v>
      </c>
      <c r="Y587">
        <v>0</v>
      </c>
      <c r="AA587">
        <f t="shared" si="94"/>
        <v>0</v>
      </c>
      <c r="AB587" t="str">
        <f t="shared" si="95"/>
        <v>0</v>
      </c>
      <c r="AC587">
        <f t="shared" si="96"/>
        <v>0</v>
      </c>
      <c r="AD587">
        <f t="shared" si="97"/>
        <v>0</v>
      </c>
      <c r="AE587">
        <f t="shared" si="98"/>
        <v>0</v>
      </c>
      <c r="AF587">
        <f t="shared" si="99"/>
        <v>0</v>
      </c>
    </row>
    <row r="588" spans="1:32" x14ac:dyDescent="0.3">
      <c r="A588">
        <v>30</v>
      </c>
      <c r="B588">
        <v>118</v>
      </c>
      <c r="C588">
        <v>165</v>
      </c>
      <c r="D588">
        <f t="shared" si="90"/>
        <v>43.3425160697888</v>
      </c>
      <c r="E588">
        <f t="shared" si="91"/>
        <v>3</v>
      </c>
      <c r="F588">
        <v>124</v>
      </c>
      <c r="G588">
        <f t="shared" si="92"/>
        <v>6</v>
      </c>
      <c r="H588">
        <v>1</v>
      </c>
      <c r="I588" t="s">
        <v>32</v>
      </c>
      <c r="J588">
        <v>0</v>
      </c>
      <c r="K588">
        <v>0</v>
      </c>
      <c r="L588">
        <v>2</v>
      </c>
      <c r="M588">
        <v>39</v>
      </c>
      <c r="N588">
        <v>6</v>
      </c>
      <c r="O588">
        <f t="shared" si="93"/>
        <v>39.857142857142854</v>
      </c>
      <c r="P588">
        <v>0</v>
      </c>
      <c r="Q588">
        <v>0</v>
      </c>
      <c r="R588">
        <v>0</v>
      </c>
      <c r="T588">
        <v>0</v>
      </c>
      <c r="U588">
        <v>0</v>
      </c>
      <c r="V588">
        <v>3550</v>
      </c>
      <c r="W588">
        <v>8</v>
      </c>
      <c r="X588">
        <v>1</v>
      </c>
      <c r="Y588">
        <v>0</v>
      </c>
      <c r="AA588">
        <f t="shared" si="94"/>
        <v>0</v>
      </c>
      <c r="AB588" t="str">
        <f t="shared" si="95"/>
        <v>0</v>
      </c>
      <c r="AC588">
        <f t="shared" si="96"/>
        <v>0</v>
      </c>
      <c r="AD588">
        <f t="shared" si="97"/>
        <v>0</v>
      </c>
      <c r="AE588">
        <f t="shared" si="98"/>
        <v>0</v>
      </c>
      <c r="AF588">
        <f t="shared" si="99"/>
        <v>0</v>
      </c>
    </row>
    <row r="589" spans="1:32" x14ac:dyDescent="0.3">
      <c r="A589">
        <v>38</v>
      </c>
      <c r="B589">
        <v>55</v>
      </c>
      <c r="C589">
        <v>160</v>
      </c>
      <c r="D589">
        <f t="shared" si="90"/>
        <v>21.484374999999996</v>
      </c>
      <c r="E589">
        <f t="shared" si="91"/>
        <v>1</v>
      </c>
      <c r="F589">
        <v>65</v>
      </c>
      <c r="G589">
        <f t="shared" si="92"/>
        <v>10</v>
      </c>
      <c r="H589">
        <v>0</v>
      </c>
      <c r="J589">
        <v>0</v>
      </c>
      <c r="K589">
        <v>0</v>
      </c>
      <c r="L589">
        <v>2</v>
      </c>
      <c r="M589">
        <v>38</v>
      </c>
      <c r="N589">
        <v>2</v>
      </c>
      <c r="O589">
        <f t="shared" si="93"/>
        <v>38.285714285714285</v>
      </c>
      <c r="P589">
        <v>0</v>
      </c>
      <c r="Q589">
        <v>0</v>
      </c>
      <c r="R589">
        <v>0</v>
      </c>
      <c r="T589">
        <v>0</v>
      </c>
      <c r="U589">
        <v>0</v>
      </c>
      <c r="V589">
        <v>2840</v>
      </c>
      <c r="W589">
        <v>9</v>
      </c>
      <c r="X589">
        <v>1</v>
      </c>
      <c r="Y589">
        <v>0</v>
      </c>
      <c r="AA589">
        <f t="shared" si="94"/>
        <v>0</v>
      </c>
      <c r="AB589" t="str">
        <f t="shared" si="95"/>
        <v>0</v>
      </c>
      <c r="AC589">
        <f t="shared" si="96"/>
        <v>0</v>
      </c>
      <c r="AD589">
        <f t="shared" si="97"/>
        <v>0</v>
      </c>
      <c r="AE589">
        <f t="shared" si="98"/>
        <v>0</v>
      </c>
      <c r="AF589">
        <f t="shared" si="99"/>
        <v>0</v>
      </c>
    </row>
    <row r="590" spans="1:32" x14ac:dyDescent="0.3">
      <c r="A590">
        <v>23</v>
      </c>
      <c r="B590">
        <v>100</v>
      </c>
      <c r="C590">
        <v>167</v>
      </c>
      <c r="D590">
        <f t="shared" si="90"/>
        <v>35.856430850873103</v>
      </c>
      <c r="E590">
        <f t="shared" si="91"/>
        <v>3</v>
      </c>
      <c r="F590">
        <v>98</v>
      </c>
      <c r="G590">
        <f t="shared" si="92"/>
        <v>-2</v>
      </c>
      <c r="H590">
        <v>1</v>
      </c>
      <c r="I590" t="s">
        <v>32</v>
      </c>
      <c r="J590">
        <v>0</v>
      </c>
      <c r="K590">
        <v>0</v>
      </c>
      <c r="L590">
        <v>1</v>
      </c>
      <c r="M590">
        <v>39</v>
      </c>
      <c r="N590">
        <v>0</v>
      </c>
      <c r="O590">
        <f t="shared" si="93"/>
        <v>39</v>
      </c>
      <c r="P590">
        <v>0</v>
      </c>
      <c r="Q590">
        <v>0</v>
      </c>
      <c r="R590">
        <v>0</v>
      </c>
      <c r="T590">
        <v>0</v>
      </c>
      <c r="U590">
        <v>0</v>
      </c>
      <c r="V590">
        <v>3970</v>
      </c>
      <c r="W590">
        <v>9</v>
      </c>
      <c r="X590">
        <v>0</v>
      </c>
      <c r="Y590">
        <v>0</v>
      </c>
      <c r="AA590">
        <f t="shared" si="94"/>
        <v>0</v>
      </c>
      <c r="AB590" t="str">
        <f t="shared" si="95"/>
        <v>2</v>
      </c>
      <c r="AC590">
        <f t="shared" si="96"/>
        <v>0</v>
      </c>
      <c r="AD590">
        <f t="shared" si="97"/>
        <v>0</v>
      </c>
      <c r="AE590">
        <f t="shared" si="98"/>
        <v>0</v>
      </c>
      <c r="AF590">
        <f t="shared" si="99"/>
        <v>0</v>
      </c>
    </row>
    <row r="591" spans="1:32" x14ac:dyDescent="0.3">
      <c r="A591">
        <v>36</v>
      </c>
      <c r="B591">
        <v>81</v>
      </c>
      <c r="C591">
        <v>173</v>
      </c>
      <c r="D591">
        <f t="shared" si="90"/>
        <v>27.064051588760066</v>
      </c>
      <c r="E591">
        <f t="shared" si="91"/>
        <v>3</v>
      </c>
      <c r="F591">
        <v>110</v>
      </c>
      <c r="G591">
        <f t="shared" si="92"/>
        <v>29</v>
      </c>
      <c r="H591">
        <v>1</v>
      </c>
      <c r="I591" t="s">
        <v>32</v>
      </c>
      <c r="J591">
        <v>0</v>
      </c>
      <c r="K591">
        <v>1</v>
      </c>
      <c r="L591">
        <v>1</v>
      </c>
      <c r="M591">
        <v>38</v>
      </c>
      <c r="N591">
        <v>6</v>
      </c>
      <c r="O591">
        <f t="shared" si="93"/>
        <v>38.857142857142854</v>
      </c>
      <c r="P591">
        <v>0</v>
      </c>
      <c r="Q591">
        <v>0</v>
      </c>
      <c r="R591">
        <v>3</v>
      </c>
      <c r="S591" t="s">
        <v>34</v>
      </c>
      <c r="T591">
        <v>0</v>
      </c>
      <c r="U591">
        <v>0</v>
      </c>
      <c r="V591">
        <v>3890</v>
      </c>
      <c r="W591">
        <v>8</v>
      </c>
      <c r="X591">
        <v>1</v>
      </c>
      <c r="Y591">
        <v>0</v>
      </c>
      <c r="AA591">
        <f t="shared" si="94"/>
        <v>1</v>
      </c>
      <c r="AB591" t="str">
        <f t="shared" si="95"/>
        <v>2</v>
      </c>
      <c r="AC591">
        <f t="shared" si="96"/>
        <v>0</v>
      </c>
      <c r="AD591">
        <f t="shared" si="97"/>
        <v>0</v>
      </c>
      <c r="AE591">
        <f t="shared" si="98"/>
        <v>1</v>
      </c>
      <c r="AF591">
        <f t="shared" si="99"/>
        <v>0</v>
      </c>
    </row>
    <row r="592" spans="1:32" x14ac:dyDescent="0.3">
      <c r="A592">
        <v>41</v>
      </c>
      <c r="B592">
        <v>52</v>
      </c>
      <c r="C592">
        <v>153</v>
      </c>
      <c r="D592">
        <f t="shared" si="90"/>
        <v>22.213678499722331</v>
      </c>
      <c r="E592">
        <f t="shared" si="91"/>
        <v>1</v>
      </c>
      <c r="F592">
        <v>60</v>
      </c>
      <c r="G592">
        <f t="shared" si="92"/>
        <v>8</v>
      </c>
      <c r="H592">
        <v>0</v>
      </c>
      <c r="J592">
        <v>0</v>
      </c>
      <c r="K592">
        <v>1</v>
      </c>
      <c r="L592">
        <v>1</v>
      </c>
      <c r="M592">
        <v>39</v>
      </c>
      <c r="N592">
        <v>3</v>
      </c>
      <c r="O592">
        <f t="shared" si="93"/>
        <v>39.428571428571431</v>
      </c>
      <c r="P592">
        <v>1</v>
      </c>
      <c r="Q592">
        <v>0</v>
      </c>
      <c r="R592">
        <v>3</v>
      </c>
      <c r="S592" t="s">
        <v>34</v>
      </c>
      <c r="T592">
        <v>0</v>
      </c>
      <c r="U592">
        <v>0</v>
      </c>
      <c r="V592">
        <v>3410</v>
      </c>
      <c r="W592">
        <v>10</v>
      </c>
      <c r="X592">
        <v>1</v>
      </c>
      <c r="Y592">
        <v>0</v>
      </c>
      <c r="AA592">
        <f t="shared" si="94"/>
        <v>0</v>
      </c>
      <c r="AB592" t="str">
        <f t="shared" si="95"/>
        <v>0</v>
      </c>
      <c r="AC592">
        <f t="shared" si="96"/>
        <v>0</v>
      </c>
      <c r="AD592">
        <f t="shared" si="97"/>
        <v>0</v>
      </c>
      <c r="AE592">
        <f t="shared" si="98"/>
        <v>1</v>
      </c>
      <c r="AF592">
        <f t="shared" si="99"/>
        <v>0</v>
      </c>
    </row>
    <row r="593" spans="1:32" x14ac:dyDescent="0.3">
      <c r="A593">
        <v>25</v>
      </c>
      <c r="B593">
        <v>99</v>
      </c>
      <c r="C593">
        <v>162</v>
      </c>
      <c r="D593">
        <f t="shared" si="90"/>
        <v>37.722908093278456</v>
      </c>
      <c r="E593">
        <f t="shared" si="91"/>
        <v>3</v>
      </c>
      <c r="F593">
        <v>102</v>
      </c>
      <c r="G593">
        <f t="shared" si="92"/>
        <v>3</v>
      </c>
      <c r="H593">
        <v>1</v>
      </c>
      <c r="I593" t="s">
        <v>32</v>
      </c>
      <c r="J593">
        <v>0</v>
      </c>
      <c r="K593">
        <v>0</v>
      </c>
      <c r="L593">
        <v>0</v>
      </c>
      <c r="M593">
        <v>39</v>
      </c>
      <c r="N593">
        <v>4</v>
      </c>
      <c r="O593">
        <f t="shared" si="93"/>
        <v>39.571428571428569</v>
      </c>
      <c r="P593">
        <v>0</v>
      </c>
      <c r="Q593">
        <v>0</v>
      </c>
      <c r="R593">
        <v>3</v>
      </c>
      <c r="S593" t="s">
        <v>35</v>
      </c>
      <c r="T593">
        <v>0</v>
      </c>
      <c r="U593">
        <v>0</v>
      </c>
      <c r="V593">
        <v>3890</v>
      </c>
      <c r="W593">
        <v>8</v>
      </c>
      <c r="X593">
        <v>1</v>
      </c>
      <c r="Y593">
        <v>0</v>
      </c>
      <c r="AA593">
        <f t="shared" si="94"/>
        <v>0</v>
      </c>
      <c r="AB593" t="str">
        <f t="shared" si="95"/>
        <v>2</v>
      </c>
      <c r="AC593">
        <f t="shared" si="96"/>
        <v>0</v>
      </c>
      <c r="AD593">
        <f t="shared" si="97"/>
        <v>0</v>
      </c>
      <c r="AE593">
        <f t="shared" si="98"/>
        <v>1</v>
      </c>
      <c r="AF593">
        <f t="shared" si="99"/>
        <v>0</v>
      </c>
    </row>
    <row r="594" spans="1:32" x14ac:dyDescent="0.3">
      <c r="A594">
        <v>26</v>
      </c>
      <c r="B594">
        <v>49</v>
      </c>
      <c r="C594">
        <v>168</v>
      </c>
      <c r="D594">
        <f t="shared" si="90"/>
        <v>17.361111111111114</v>
      </c>
      <c r="E594">
        <f t="shared" si="91"/>
        <v>0</v>
      </c>
      <c r="F594">
        <v>63</v>
      </c>
      <c r="G594">
        <f t="shared" si="92"/>
        <v>14</v>
      </c>
      <c r="H594">
        <v>0</v>
      </c>
      <c r="J594">
        <v>0</v>
      </c>
      <c r="K594">
        <v>1</v>
      </c>
      <c r="L594">
        <v>1</v>
      </c>
      <c r="M594">
        <v>39</v>
      </c>
      <c r="N594">
        <v>1</v>
      </c>
      <c r="O594">
        <f t="shared" si="93"/>
        <v>39.142857142857146</v>
      </c>
      <c r="P594">
        <v>0</v>
      </c>
      <c r="Q594">
        <v>0</v>
      </c>
      <c r="R594">
        <v>3</v>
      </c>
      <c r="S594" t="s">
        <v>34</v>
      </c>
      <c r="T594">
        <v>0</v>
      </c>
      <c r="U594">
        <v>0</v>
      </c>
      <c r="V594">
        <v>2800</v>
      </c>
      <c r="W594">
        <v>8</v>
      </c>
      <c r="X594">
        <v>1</v>
      </c>
      <c r="Y594">
        <v>0</v>
      </c>
      <c r="AA594">
        <f t="shared" si="94"/>
        <v>0</v>
      </c>
      <c r="AB594" t="str">
        <f t="shared" si="95"/>
        <v>0</v>
      </c>
      <c r="AC594">
        <f t="shared" si="96"/>
        <v>0</v>
      </c>
      <c r="AD594">
        <f t="shared" si="97"/>
        <v>0</v>
      </c>
      <c r="AE594">
        <f t="shared" si="98"/>
        <v>1</v>
      </c>
      <c r="AF594">
        <f t="shared" si="99"/>
        <v>0</v>
      </c>
    </row>
    <row r="595" spans="1:32" x14ac:dyDescent="0.3">
      <c r="A595">
        <v>31</v>
      </c>
      <c r="B595">
        <v>64</v>
      </c>
      <c r="C595">
        <v>160</v>
      </c>
      <c r="D595">
        <f t="shared" si="90"/>
        <v>24.999999999999996</v>
      </c>
      <c r="E595">
        <f t="shared" si="91"/>
        <v>3</v>
      </c>
      <c r="F595">
        <v>78</v>
      </c>
      <c r="G595">
        <f t="shared" si="92"/>
        <v>14</v>
      </c>
      <c r="H595">
        <v>1</v>
      </c>
      <c r="I595" t="s">
        <v>32</v>
      </c>
      <c r="J595">
        <v>0</v>
      </c>
      <c r="K595">
        <v>0</v>
      </c>
      <c r="L595">
        <v>0</v>
      </c>
      <c r="M595">
        <v>38</v>
      </c>
      <c r="N595">
        <v>0</v>
      </c>
      <c r="O595">
        <f t="shared" si="93"/>
        <v>38</v>
      </c>
      <c r="P595">
        <v>0</v>
      </c>
      <c r="Q595">
        <v>0</v>
      </c>
      <c r="R595">
        <v>0</v>
      </c>
      <c r="T595">
        <v>0</v>
      </c>
      <c r="U595">
        <v>0</v>
      </c>
      <c r="V595">
        <v>2430</v>
      </c>
      <c r="W595">
        <v>9</v>
      </c>
      <c r="X595">
        <v>1</v>
      </c>
      <c r="Y595">
        <v>0</v>
      </c>
      <c r="AA595">
        <f t="shared" si="94"/>
        <v>1</v>
      </c>
      <c r="AB595" t="str">
        <f t="shared" si="95"/>
        <v>1</v>
      </c>
      <c r="AC595">
        <f t="shared" si="96"/>
        <v>0</v>
      </c>
      <c r="AD595">
        <f t="shared" si="97"/>
        <v>0</v>
      </c>
      <c r="AE595">
        <f t="shared" si="98"/>
        <v>0</v>
      </c>
      <c r="AF595">
        <f t="shared" si="99"/>
        <v>0</v>
      </c>
    </row>
    <row r="596" spans="1:32" x14ac:dyDescent="0.3">
      <c r="A596">
        <v>24</v>
      </c>
      <c r="B596">
        <v>43</v>
      </c>
      <c r="C596">
        <v>155</v>
      </c>
      <c r="D596">
        <f t="shared" si="90"/>
        <v>17.898022892819977</v>
      </c>
      <c r="E596">
        <f t="shared" si="91"/>
        <v>0</v>
      </c>
      <c r="F596">
        <v>60</v>
      </c>
      <c r="G596">
        <f t="shared" si="92"/>
        <v>17</v>
      </c>
      <c r="H596">
        <v>0</v>
      </c>
      <c r="J596">
        <v>0</v>
      </c>
      <c r="K596">
        <v>0</v>
      </c>
      <c r="L596">
        <v>0</v>
      </c>
      <c r="M596">
        <v>39</v>
      </c>
      <c r="N596">
        <v>3</v>
      </c>
      <c r="O596">
        <f t="shared" si="93"/>
        <v>39.428571428571431</v>
      </c>
      <c r="P596">
        <v>0</v>
      </c>
      <c r="Q596">
        <v>0</v>
      </c>
      <c r="R596">
        <v>0</v>
      </c>
      <c r="T596">
        <v>0</v>
      </c>
      <c r="U596">
        <v>0</v>
      </c>
      <c r="V596">
        <v>3020</v>
      </c>
      <c r="W596">
        <v>9</v>
      </c>
      <c r="X596">
        <v>1</v>
      </c>
      <c r="Y596">
        <v>1</v>
      </c>
      <c r="Z596" t="s">
        <v>38</v>
      </c>
      <c r="AA596">
        <f t="shared" si="94"/>
        <v>0</v>
      </c>
      <c r="AB596" t="str">
        <f t="shared" si="95"/>
        <v>0</v>
      </c>
      <c r="AC596">
        <f t="shared" si="96"/>
        <v>0</v>
      </c>
      <c r="AD596">
        <f t="shared" si="97"/>
        <v>0</v>
      </c>
      <c r="AE596">
        <f t="shared" si="98"/>
        <v>0</v>
      </c>
      <c r="AF596">
        <f t="shared" si="99"/>
        <v>0</v>
      </c>
    </row>
    <row r="597" spans="1:32" x14ac:dyDescent="0.3">
      <c r="A597">
        <v>32</v>
      </c>
      <c r="B597">
        <v>55</v>
      </c>
      <c r="C597">
        <v>155</v>
      </c>
      <c r="D597">
        <f t="shared" si="90"/>
        <v>22.892819979188342</v>
      </c>
      <c r="E597">
        <f t="shared" si="91"/>
        <v>1</v>
      </c>
      <c r="F597">
        <v>65</v>
      </c>
      <c r="G597">
        <f t="shared" si="92"/>
        <v>10</v>
      </c>
      <c r="H597">
        <v>0</v>
      </c>
      <c r="J597">
        <v>0</v>
      </c>
      <c r="K597">
        <v>1</v>
      </c>
      <c r="L597">
        <v>1</v>
      </c>
      <c r="M597">
        <v>38</v>
      </c>
      <c r="N597">
        <v>1</v>
      </c>
      <c r="O597">
        <f t="shared" si="93"/>
        <v>38.142857142857146</v>
      </c>
      <c r="P597">
        <v>0</v>
      </c>
      <c r="Q597">
        <v>0</v>
      </c>
      <c r="R597">
        <v>3</v>
      </c>
      <c r="S597" t="s">
        <v>34</v>
      </c>
      <c r="T597">
        <v>0</v>
      </c>
      <c r="U597">
        <v>0</v>
      </c>
      <c r="V597">
        <v>3210</v>
      </c>
      <c r="W597">
        <v>9</v>
      </c>
      <c r="X597">
        <v>1</v>
      </c>
      <c r="Y597">
        <v>0</v>
      </c>
      <c r="AA597">
        <f t="shared" si="94"/>
        <v>0</v>
      </c>
      <c r="AB597" t="str">
        <f t="shared" si="95"/>
        <v>0</v>
      </c>
      <c r="AC597">
        <f t="shared" si="96"/>
        <v>0</v>
      </c>
      <c r="AD597">
        <f t="shared" si="97"/>
        <v>0</v>
      </c>
      <c r="AE597">
        <f t="shared" si="98"/>
        <v>1</v>
      </c>
      <c r="AF597">
        <f t="shared" si="99"/>
        <v>0</v>
      </c>
    </row>
    <row r="598" spans="1:32" x14ac:dyDescent="0.3">
      <c r="A598">
        <v>27</v>
      </c>
      <c r="B598">
        <v>87</v>
      </c>
      <c r="C598">
        <v>165</v>
      </c>
      <c r="D598">
        <f t="shared" si="90"/>
        <v>31.955922865013779</v>
      </c>
      <c r="E598">
        <f t="shared" si="91"/>
        <v>3</v>
      </c>
      <c r="F598">
        <v>103</v>
      </c>
      <c r="G598">
        <f t="shared" si="92"/>
        <v>16</v>
      </c>
      <c r="H598">
        <v>1</v>
      </c>
      <c r="I598" t="s">
        <v>32</v>
      </c>
      <c r="J598">
        <v>0</v>
      </c>
      <c r="K598">
        <v>0</v>
      </c>
      <c r="L598">
        <v>0</v>
      </c>
      <c r="M598">
        <v>38</v>
      </c>
      <c r="N598">
        <v>5</v>
      </c>
      <c r="O598">
        <f t="shared" si="93"/>
        <v>38.714285714285715</v>
      </c>
      <c r="P598">
        <v>0</v>
      </c>
      <c r="Q598">
        <v>0</v>
      </c>
      <c r="R598">
        <v>0</v>
      </c>
      <c r="T598">
        <v>0</v>
      </c>
      <c r="U598">
        <v>0</v>
      </c>
      <c r="V598">
        <v>2650</v>
      </c>
      <c r="W598">
        <v>9</v>
      </c>
      <c r="X598">
        <v>1</v>
      </c>
      <c r="Y598">
        <v>1</v>
      </c>
      <c r="Z598" t="s">
        <v>38</v>
      </c>
      <c r="AA598">
        <f t="shared" si="94"/>
        <v>1</v>
      </c>
      <c r="AB598" t="str">
        <f t="shared" si="95"/>
        <v>0</v>
      </c>
      <c r="AC598">
        <f t="shared" si="96"/>
        <v>0</v>
      </c>
      <c r="AD598">
        <f t="shared" si="97"/>
        <v>0</v>
      </c>
      <c r="AE598">
        <f t="shared" si="98"/>
        <v>0</v>
      </c>
      <c r="AF598">
        <f t="shared" si="99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Pholasith</dc:creator>
  <cp:lastModifiedBy>Pholasith Laoruengrong</cp:lastModifiedBy>
  <dcterms:created xsi:type="dcterms:W3CDTF">2015-06-05T18:17:20Z</dcterms:created>
  <dcterms:modified xsi:type="dcterms:W3CDTF">2026-05-11T19:23:30Z</dcterms:modified>
</cp:coreProperties>
</file>